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pics" sheetId="2" state="visible" r:id="rId4"/>
    <sheet name="Backlog" sheetId="3" state="visible" r:id="rId5"/>
    <sheet name="Sprint Summary" sheetId="4" state="visible" r:id="rId6"/>
    <sheet name="Definition of Ready" sheetId="5" state="visible" r:id="rId7"/>
    <sheet name="Definition of Done" sheetId="6" state="visible" r:id="rId8"/>
  </sheets>
  <definedNames>
    <definedName function="false" hidden="true" localSheetId="2" name="_xlnm._FilterDatabase" vbProcedure="false">Backlog!$A$1:$K$38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<sst xmlns="http://schemas.openxmlformats.org/spreadsheetml/2006/main" count="518" uniqueCount="239">
  <si>
    <t xml:space="preserve">Cloud-Menu: Product Backlog &amp; Definitions of Ready/Done</t>
  </si>
  <si>
    <t xml:space="preserve">Version</t>
  </si>
  <si>
    <t xml:space="preserve">0.1 draft, 21 Oct 2026</t>
  </si>
  <si>
    <t xml:space="preserve">Sheets</t>
  </si>
  <si>
    <t xml:space="preserve">Epics, Backlog (stories with Gherkin acceptance criteria), Sprint Summary (formula-driven), Definition of Ready, Definition of Done</t>
  </si>
  <si>
    <t xml:space="preserve">Priority</t>
  </si>
  <si>
    <t xml:space="preserve">MoSCoW (Must / Should / Could). Rank is the order of delivery within the backlog.</t>
  </si>
  <si>
    <t xml:space="preserve">Story points</t>
  </si>
  <si>
    <t xml:space="preserve">Fibonacci estimates are initial planning guesses to be re-estimated in planning sessions. Edit the Points and Sprint columns; the Sprint Summary recalculates.</t>
  </si>
  <si>
    <t xml:space="preserve">Currency</t>
  </si>
  <si>
    <t xml:space="preserve">All money is in TZS (whole shillings). Example values in acceptance criteria are illustrative.</t>
  </si>
  <si>
    <t xml:space="preserve">Sprints</t>
  </si>
  <si>
    <t xml:space="preserve">S1 = Weeks 1-2, S2 = Weeks 3-4, S3 = Weeks 5-6, S4 = Weeks 7-8 (MVP beta launch at the end of S4). Week 0 is pre-sprint setup.</t>
  </si>
  <si>
    <t xml:space="preserve">Editable cells</t>
  </si>
  <si>
    <t xml:space="preserve">Backlog columns G (Points) and H (Sprint) feed the Sprint Summary. Status (column K) is a dropdown.</t>
  </si>
  <si>
    <t xml:space="preserve">Epic ID</t>
  </si>
  <si>
    <t xml:space="preserve">Epic</t>
  </si>
  <si>
    <t xml:space="preserve">Description</t>
  </si>
  <si>
    <t xml:space="preserve">Stories</t>
  </si>
  <si>
    <t xml:space="preserve">Points</t>
  </si>
  <si>
    <t xml:space="preserve">E1</t>
  </si>
  <si>
    <t xml:space="preserve">Table QR &amp; Session Binding</t>
  </si>
  <si>
    <t xml:space="preserve">Guests reach the right table session by scanning a QR code, with no sign-up.</t>
  </si>
  <si>
    <t xml:space="preserve">Must</t>
  </si>
  <si>
    <t xml:space="preserve">E2</t>
  </si>
  <si>
    <t xml:space="preserve">Menu, Modifiers &amp; Ordering</t>
  </si>
  <si>
    <t xml:space="preserve">Browse, customise and submit orders in real time from a fast PWA.</t>
  </si>
  <si>
    <t xml:space="preserve">E3</t>
  </si>
  <si>
    <t xml:space="preserve">Bill-Splitting Engine</t>
  </si>
  <si>
    <t xml:space="preserve">Equal and itemized splitting with deterministic rounding and locking.</t>
  </si>
  <si>
    <t xml:space="preserve">E4</t>
  </si>
  <si>
    <t xml:space="preserve">Mobile Money Payments</t>
  </si>
  <si>
    <t xml:space="preserve">Push-prompt payments, webhook-driven state, reconciliation, receipts.</t>
  </si>
  <si>
    <t xml:space="preserve">E5</t>
  </si>
  <si>
    <t xml:space="preserve">KDS &amp; Waiter Dashboard</t>
  </si>
  <si>
    <t xml:space="preserve">Real-time ticket management and table/payment visibility for staff.</t>
  </si>
  <si>
    <t xml:space="preserve">E6</t>
  </si>
  <si>
    <t xml:space="preserve">Venue Admin &amp; Onboarding</t>
  </si>
  <si>
    <t xml:space="preserve">Menu management, table/QR generation, reporting, subscription.</t>
  </si>
  <si>
    <t xml:space="preserve">Should</t>
  </si>
  <si>
    <t xml:space="preserve">E7</t>
  </si>
  <si>
    <t xml:space="preserve">Platform, Performance &amp; Security</t>
  </si>
  <si>
    <t xml:space="preserve">Performance budgets, observability, abuse protection.</t>
  </si>
  <si>
    <t xml:space="preserve">Total</t>
  </si>
  <si>
    <t xml:space="preserve">ID</t>
  </si>
  <si>
    <t xml:space="preserve">Rank</t>
  </si>
  <si>
    <t xml:space="preserve">Persona</t>
  </si>
  <si>
    <t xml:space="preserve">User Story</t>
  </si>
  <si>
    <t xml:space="preserve">Sprint</t>
  </si>
  <si>
    <t xml:space="preserve">Dependencies</t>
  </si>
  <si>
    <t xml:space="preserve">Acceptance Criteria (Gherkin)</t>
  </si>
  <si>
    <t xml:space="preserve">Status</t>
  </si>
  <si>
    <t xml:space="preserve">US-101</t>
  </si>
  <si>
    <t xml:space="preserve">Lounge Guest</t>
  </si>
  <si>
    <t xml:space="preserve">As a Lounge Guest, I want to scan the QR code on my table and land on that venue’s menu with my table already selected so that I can order immediately without installing an app or signing up.</t>
  </si>
  <si>
    <t xml:space="preserve">S1</t>
  </si>
  <si>
    <t xml:space="preserve">Scenario: First scan opens a new table session
  Given table "T12" at venue "Masaki Lounge" has no active session
  And the QR code encodes a signed table token
  When a guest opens the QR URL in a mobile browser
  Then the system creates an active table session bound to "T12"
  And the guest receives a session token valid for that session only
  And the menu page is shown without any sign-up prompt
Scenario: Tampered or unknown QR token is rejected
  Given a QR URL whose token signature is invalid
  When the guest opens the URL
  Then the API responds 404 or 422 with a problem+json body
  And the guest sees "This QR code is not valid. Please ask your waiter."
Scenario: Venue is inactive
  Given venue "Masaki Lounge" subscription status is "SUSPENDED"
  When a guest scans a table QR code
  Then the guest sees a friendly "Digital ordering unavailable" page
  And no session is created</t>
  </si>
  <si>
    <t xml:space="preserve">Not started</t>
  </si>
  <si>
    <t xml:space="preserve">US-102</t>
  </si>
  <si>
    <t xml:space="preserve">As a Lounge Guest, I want to join the table session already opened by a friend so that all of us order and pay against one shared table bill.</t>
  </si>
  <si>
    <t xml:space="preserve">Scenario: Second guest joins existing session
  Given table "T12" has an active session with 1 participant
  When another device scans the same QR code
  Then the device is added as a new participant to the same session
  And a default display name such as "Guest 2" is assigned
  And the guest can later edit the display name
Scenario: Same device re-scans
  Given a device already has a participant record in the session
  When it scans the QR code again
  Then no duplicate participant is created
  And the existing session token is reused
Scenario: Participant limit
  Given a session has 20 participants
  When a 21st device scans the QR code
  Then the guest is asked to see a waiter
  And the session is unchanged</t>
  </si>
  <si>
    <t xml:space="preserve">US-201</t>
  </si>
  <si>
    <t xml:space="preserve">As a Lounge Guest, I want to browse the menu by category and search items so that I can find what I want quickly on a slow connection.</t>
  </si>
  <si>
    <t xml:space="preserve">Scenario: Menu loads fast on throttled 4G
  Given a mid-range Android device with Fast 4G throttling
  When the guest opens the menu page
  Then Largest Contentful Paint is at most 2.5 seconds at p75
  And initial JavaScript is at most 150 KB gzipped
Scenario: Category navigation
  Given the menu has categories "Drinks", "Grill" and "Snacks"
  When the guest taps "Grill"
  Then the list scrolls to "Grill" items with name, price in TZS and photo
Scenario: Unavailable items are clearly shown
  Given item "Grilled Tilapia" is marked unavailable
  When the guest views the menu
  Then the item is greyed out with "Sold out" and cannot be added to the cart</t>
  </si>
  <si>
    <t xml:space="preserve">US-202</t>
  </si>
  <si>
    <t xml:space="preserve">As a Lounge Guest, I want to choose modifiers such as mixers and spice level so that my order is prepared exactly as I want.</t>
  </si>
  <si>
    <t xml:space="preserve">Scenario: Required modifier group must be chosen
  Given item "Vodka" has required group "Mixer" (min 1, max 1)
  When the guest taps "Add to cart" without choosing a mixer
  Then the add action is blocked
  And "Choose a mixer" is shown
Scenario: Modifier price adjusts item price
  Given modifier "Double shot" has price delta +3,000 TZS
  When the guest selects it on a 8,000 TZS item
  Then the line price shows 11,000 TZS before quantity
Scenario: Max selections enforced
  Given group "Extras" allows at most 2 selections
  When the guest selects a third extra
  Then the selection is rejected with a message</t>
  </si>
  <si>
    <t xml:space="preserve">US-203</t>
  </si>
  <si>
    <t xml:space="preserve">As a Lounge Guest, I want to review and edit my cart with quantities and notes so that I avoid mistakes before I send the order.</t>
  </si>
  <si>
    <t xml:space="preserve">Scenario: Edit quantity
  Given the cart contains 2 x "Chips Mayai"
  When the guest changes quantity to 3
  Then line total and cart total update immediately
Scenario: Add kitchen note
  When the guest types "No onions" in the item note
  Then the note is saved on the line and sent with the order
Scenario: Cart survives page reload
  Given the cart has items
  When the guest reloads the page
  Then the cart is restored from local storage for the same session</t>
  </si>
  <si>
    <t xml:space="preserve">US-204</t>
  </si>
  <si>
    <t xml:space="preserve">As a Lounge Guest, I want to submit my order and get instant confirmation so that I know the kitchen or bar has received it.</t>
  </si>
  <si>
    <t xml:space="preserve">Scenario: Successful submission
  Given the cart has valid items and an active session
  When the guest taps "Send order"
  Then an order with status "NEW" is created
  And the KDS shows a ticket within 2 seconds at p95
  And the guest sees an order number and estimated status
Scenario: Duplicate tap or retry is idempotent
  Given the guest taps "Send order" twice with the same client_order_id
  Then only one order exists
  And both responses return the same order id
Scenario: Price changed since page load
  Given a menu price changed after the guest loaded the menu
  When the guest submits the order
  Then the server re-prices items from current menu data
  And the guest is shown the updated total before confirming</t>
  </si>
  <si>
    <t xml:space="preserve">US-506</t>
  </si>
  <si>
    <t xml:space="preserve">Venue Manager</t>
  </si>
  <si>
    <t xml:space="preserve">As a Venue Manager, I want staff to sign in with roles (waiter, kitchen, manager) using a simple PIN or password so that the right people see the right screens.</t>
  </si>
  <si>
    <t xml:space="preserve">Scenario: Staff login
  When a staff member enters a valid venue code and PIN
  Then a short-lived token is issued with their role
Scenario: Role restriction
  Given a kitchen user
  When they request manager reports
  Then the API returns 403
Scenario: Lockout
  When 5 wrong PINs are entered within 10 minutes
  Then the account is locked for 15 minutes</t>
  </si>
  <si>
    <t xml:space="preserve">US-601</t>
  </si>
  <si>
    <t xml:space="preserve">As a Venue Manager, I want to manage categories, items, prices, photos and modifiers so that the menu always reflects what we sell.</t>
  </si>
  <si>
    <t xml:space="preserve">Scenario: Create item with modifier group
  When the manager saves a new item with a modifier group
  Then the item appears in the guest menu within 1 minute
Scenario: Image optimisation
  When a photo larger than 1 MB is uploaded
  Then it is resized and served as WebP/AVIF with a width-appropriate variant
Scenario: Bulk import
  When the manager uploads a valid CSV
  Then items are created and errors are listed per row</t>
  </si>
  <si>
    <t xml:space="preserve">US-602</t>
  </si>
  <si>
    <t xml:space="preserve">As a Venue Manager, I want to create tables and download a print-ready QR sticker sheet so that I can set up without technical help.</t>
  </si>
  <si>
    <t xml:space="preserve">Scenario: Generate QR codes
  Given the manager adds tables "T1" to "T14"
  When they click "Download QR stickers"
  Then a PDF is produced with one signed QR per table, table label and venue name
Scenario: Regenerate compromised QR
  When the manager rotates a table QR token
  Then the old QR stops working immediately</t>
  </si>
  <si>
    <t xml:space="preserve">US-701</t>
  </si>
  <si>
    <t xml:space="preserve">As a Lounge Guest, I want the app to load fast and work well on weak networks so that I do not abandon the page.</t>
  </si>
  <si>
    <t xml:space="preserve">Scenario: Performance budget in CI
  Given a pull request changes the guest PWA
  When CI runs Lighthouse with Fast 3G and 4x CPU throttling
  Then the build fails if LCP exceeds 4.0 seconds or initial JS exceeds 150 KB gzipped
Scenario: Repeat visits
  Given the service worker has cached the app shell and menu
  When the guest reopens the page
  Then the shell renders in 1.5 seconds or less and the menu is revalidated in the background</t>
  </si>
  <si>
    <t xml:space="preserve">US-301</t>
  </si>
  <si>
    <t xml:space="preserve">As a Lounge Guest, I want to see the full table bill with line items, service charge and tax so that I understand exactly what we owe.</t>
  </si>
  <si>
    <t xml:space="preserve">S2</t>
  </si>
  <si>
    <t xml:space="preserve">Scenario: Bill aggregates all non-rejected order lines
  Given a session with 3 orders
  When the guest opens the bill
  Then all non-rejected lines are listed with quantities and modifier prices
  And the subtotal, service charge, tax and total are shown in TZS
Scenario: Bill updates when new orders arrive
  Given the bill page is open
  When another guest at the table submits an order
  Then the bill updates within 3 seconds</t>
  </si>
  <si>
    <t xml:space="preserve">US-302</t>
  </si>
  <si>
    <t xml:space="preserve">As a Lounge Guest, I want to split the bill equally among N guests so that everyone pays the same amount without calculators.</t>
  </si>
  <si>
    <t xml:space="preserve">Scenario: Even split
  Given a bill total of 90,000 TZS
  When the guest selects Equal split with 3 payers
  Then 3 shares of 30,000 TZS are created
Scenario: Remainder handled deterministically
  Given a bill total of 100,000 TZS and 3 payers
  When the split is calculated
  Then shares are 33,334, 33,333 and 33,333 TZS
  And the shares sum exactly to the bill total
Scenario: Invalid payer count
  When the guest enters 0 or more payers than the maximum allowed
  Then the split is rejected with a validation message</t>
  </si>
  <si>
    <t xml:space="preserve">US-303</t>
  </si>
  <si>
    <t xml:space="preserve">As a Lounge Guest, I want to pay only for the items I ordered or ate so that I do not subsidise others.</t>
  </si>
  <si>
    <t xml:space="preserve">Scenario: Claim items
  Given a bill with items ordered by different guests
  When Guest A selects the items she consumed
  Then Guest A’s share equals those items plus proportional service charge and tax
Scenario: Item cannot be claimed twice (unless shared)
  Given an item is fully claimed by Guest A
  When Guest B tries to claim it
  Then the claim is rejected as "ALREADY_CLAIMED"
Scenario: Unclaimed items remain visible
  Given some items are unclaimed
  Then the screen shows "Unassigned: X TZS"
  And the split cannot be locked until the unassigned amount is zero or reassigned</t>
  </si>
  <si>
    <t xml:space="preserve">US-305</t>
  </si>
  <si>
    <t xml:space="preserve">As a Lounge Guest, I want to lock the split before paying so that the amounts cannot change while payment prompts are in progress.</t>
  </si>
  <si>
    <t xml:space="preserve">Scenario: Lock a valid split
  Given all items are assigned and shares sum to the bill total
  When the guest taps "Confirm split"
  Then the split status becomes "LOCKED" with an expiry of 10 minutes
  And new orders on the session are held as a separate pending bill
Scenario: Concurrent modification is prevented
  Given two guests try to lock different splits at the same time
  Then exactly one split is locked
  And the other receives 409 "SPLIT_ALREADY_LOCKED"
Scenario: Lock expires with no payments
  Given a locked split has no initiated payments
  When the lock expires
  Then the split reverts to "OPEN"
  And payments in progress prevent expiry until resolved</t>
  </si>
  <si>
    <t xml:space="preserve">US-401</t>
  </si>
  <si>
    <t xml:space="preserve">As a Lounge Guest, I want to pay my share by mobile money push prompt so that I can pay from my own phone without leaving the page.</t>
  </si>
  <si>
    <t xml:space="preserve">Scenario: Initiate payment
  Given my share is 30,000 TZS and the split is LOCKED
  When I choose "M-Pesa", enter a valid phone number and tap "Pay"
  Then a payment transaction is created with status "PENDING"
  And a push prompt is requested from the provider
  And the screen shows "Check your phone and enter your PIN"
Scenario: Invalid phone number
  When the phone number does not match the selected provider format
  Then the request is blocked with an inline message
Scenario: Duplicate pay request
  Given a PENDING transaction exists for my share
  When I tap "Pay" again with the same idempotency key
  Then no second prompt is sent and the existing transaction is returned</t>
  </si>
  <si>
    <t xml:space="preserve">US-501</t>
  </si>
  <si>
    <t xml:space="preserve">Kitchen / Bar Staff</t>
  </si>
  <si>
    <t xml:space="preserve">As a Kitchen / Bar Staff, I want a real-time ticket queue with a clear alert for new orders so that no order is missed during rush hour.</t>
  </si>
  <si>
    <t xml:space="preserve">Scenario: New ticket appears
  Given the KDS is open for station "Kitchen"
  When a guest submits an order containing kitchen items
  Then a new ticket appears at the top within 2 seconds at p95
  And an audible and visual alert is triggered
Scenario: Ticket contents
  Then the ticket shows table, time since order, items, modifiers and notes
Scenario: Late ticket highlighting
  Given a ticket is older than 10 minutes
  Then it is highlighted in amber, and in red after 15 minutes</t>
  </si>
  <si>
    <t xml:space="preserve">US-502</t>
  </si>
  <si>
    <t xml:space="preserve">As a Kitchen / Bar Staff, I want to move tickets through states with one tap so that guests and waiters can see accurate progress.</t>
  </si>
  <si>
    <t xml:space="preserve">Scenario: Valid transition
  Given a ticket is "NEW"
  When staff tap "Accept"
  Then status becomes "ACCEPTED" and the guest and waiter views update
Scenario: Allowed sequence
  Then allowed transitions are NEW -&gt; ACCEPTED -&gt; PREPARING -&gt; READY -&gt; SERVED
  And an invalid jump returns 409 "INVALID_TRANSITION"
Scenario: Reject item with reason
  When staff reject an item with a reason
  Then item status is "REJECTED", the bill is adjusted and the waiter is alerted
Scenario: Two devices act at once
  Given two KDS devices tap the same ticket
  Then the first transition wins and the second shows the current state</t>
  </si>
  <si>
    <t xml:space="preserve">US-504</t>
  </si>
  <si>
    <t xml:space="preserve">Waiter</t>
  </si>
  <si>
    <t xml:space="preserve">As a Waiter, I want a table dashboard showing orders and payment status per table and per guest share so that I know where to go and who has paid.</t>
  </si>
  <si>
    <t xml:space="preserve">Scenario: Table cards
  When the waiter opens the dashboard
  Then each active table shows status, open balance and number of shares paid
Scenario: Payment update
  When a guest payment succeeds
  Then the table card updates within 2 seconds
Scenario: Ready items alert
  When items become READY
  Then the waiter sees an alert with table and items</t>
  </si>
  <si>
    <t xml:space="preserve">US-205</t>
  </si>
  <si>
    <t xml:space="preserve">As a Waiter, I want to mark items sold out and have it reflect for guests in real time so that guests cannot order what we do not have.</t>
  </si>
  <si>
    <t xml:space="preserve">S3</t>
  </si>
  <si>
    <t xml:space="preserve">Scenario: Mark item unavailable
  Given item "Grilled Tilapia" is available
  When staff mark it unavailable
  Then connected guest menus show "Sold out" within 5 seconds
Scenario: Order contains an item that just became unavailable
  Given the guest cart includes that item
  When the guest submits the order
  Then the server rejects that line with code "ITEM_UNAVAILABLE"
  And the guest can remove it and resubmit</t>
  </si>
  <si>
    <t xml:space="preserve">US-206</t>
  </si>
  <si>
    <t xml:space="preserve">As a Lounge Guest, I want to see the live status of my order so that I know when to expect my food or drinks.</t>
  </si>
  <si>
    <t xml:space="preserve">Scenario: Status updates in real time
  Given an order is "NEW"
  When the kitchen changes it to "PREPARING"
  Then the guest page shows "Preparing" within 2 seconds
Scenario: Rejected item
  When the kitchen rejects an item with reason "Out of stock"
  Then the guest sees the item marked and the bill total updates</t>
  </si>
  <si>
    <t xml:space="preserve">US-402</t>
  </si>
  <si>
    <t xml:space="preserve">As a Lounge Guest, I want to see my payment status update in real time so that I know whether it succeeded without refreshing.</t>
  </si>
  <si>
    <t xml:space="preserve">Scenario: Successful callback
  Given a transaction is "PENDING"
  When the provider webhook reports success with a valid signature
  Then the transaction becomes "SUCCESS" exactly once
  And the share becomes "PAID"
  And the guest page shows "Payment received" within 2 seconds
Scenario: Duplicate webhook delivery
  When the same provider event is delivered twice
  Then the second is acknowledged but causes no state change
Scenario: Invalid signature
  When a webhook arrives with an invalid signature
  Then the API returns 401 and logs a security event</t>
  </si>
  <si>
    <t xml:space="preserve">US-403</t>
  </si>
  <si>
    <t xml:space="preserve">As a Lounge Guest, I want clear handling of failed, cancelled or expired payments, with retry so that I can complete payment even if the first attempt fails.</t>
  </si>
  <si>
    <t xml:space="preserve">Scenario: Insufficient funds
  When the provider reports "INSUFFICIENT_FUNDS"
  Then the transaction becomes "FAILED" with a user-friendly reason
  And the guest can retry or switch provider
Scenario: Prompt not answered
  Given a transaction remains PENDING for 120 seconds
  Then the screen offers "Resend prompt" and "Choose another method"
Scenario: Retry creates a new attempt
  Then the new attempt references the same share and the old one stays recorded as FAILED</t>
  </si>
  <si>
    <t xml:space="preserve">US-404</t>
  </si>
  <si>
    <t xml:space="preserve">As a Venue Manager, I want payments to be reconciled automatically even if a callback is lost so that money received is never shown as unpaid.</t>
  </si>
  <si>
    <t xml:space="preserve">Scenario: Poll stale pending transactions
  Given a transaction has been PENDING for more than 3 minutes
  When the reconciliation job runs
  Then it queries the provider for status
  And updates the transaction and share if the provider reports a final state
Scenario: Late success after expiry
  Given the share was marked expired locally
  When the provider later reports success
  Then the payment is recorded and the venue sees an exception flagged for review
Scenario: Daily mismatch report
  Then unresolved transactions are listed for the manager</t>
  </si>
  <si>
    <t xml:space="preserve">US-405</t>
  </si>
  <si>
    <t xml:space="preserve">As a Lounge Guest, I want a digital receipt after paying so that I have proof of payment and what I paid for.</t>
  </si>
  <si>
    <t xml:space="preserve">Scenario: Receipt shown after success
  When my payment succeeds
  Then a receipt screen shows venue, table, my items, amounts, provider reference and timestamp
Scenario: Receipt link
  Then I can open the same receipt later via a unique link or download it as an image</t>
  </si>
  <si>
    <t xml:space="preserve">US-407</t>
  </si>
  <si>
    <t xml:space="preserve">As a Lounge Guest, I want the table to be settled only when every share is paid, with unpaid shares reassignable so that the venue is never short-paid.</t>
  </si>
  <si>
    <t xml:space="preserve">Scenario: Table settles when all shares paid
  Given 3 shares and 2 are PAID
  When the third payment succeeds
  Then the bill status is "SETTLED"
Scenario: One guest leaves without paying
  Given 1 share remains unpaid
  When a guest or waiter re-opens the split
  Then the unpaid share can be paid by others or marked cash by the waiter
  And already PAID shares are not charged again</t>
  </si>
  <si>
    <t xml:space="preserve">US-505</t>
  </si>
  <si>
    <t xml:space="preserve">As a Waiter, I want the dashboard and KDS to recover automatically after a network drop so that I never miss orders because of Wi-Fi problems.</t>
  </si>
  <si>
    <t xml:space="preserve">Scenario: Reconnect and resync
  Given the KDS loses connection for 60 seconds
  When it reconnects
  Then it requests events since its last sequence number
  And any missed tickets are shown without a page reload
Scenario: Offline banner
  When connection is lost
  Then a visible "Offline - reconnecting" banner appears
  And actions are queued or disabled with a clear message
Scenario: Fallback transport
  When WebSocket connection fails repeatedly
  Then the client falls back to polling every 5 seconds</t>
  </si>
  <si>
    <t xml:space="preserve">US-702</t>
  </si>
  <si>
    <t xml:space="preserve">Tech Lead</t>
  </si>
  <si>
    <t xml:space="preserve">As a Tech Lead, I want logging, metrics and alerts across API, real-time and payment flows so that we detect failures before venues complain.</t>
  </si>
  <si>
    <t xml:space="preserve">Scenario: Payment anomaly alert
  When more than 5 payment callbacks fail processing in 5 minutes
  Then an alert is sent to the on-call channel
Scenario: Trace an order
  Given an order id
  Then logs and traces across API, queue and websocket delivery can be found using one correlation id</t>
  </si>
  <si>
    <t xml:space="preserve">US-703</t>
  </si>
  <si>
    <t xml:space="preserve">As a Tech Lead, I want rate limiting, input validation and webhook authenticity checks so that the platform resists abuse and fraud.</t>
  </si>
  <si>
    <t xml:space="preserve">Scenario: Rate limit session creation
  When one IP exceeds 30 session-init requests per minute
  Then further requests receive 429 with Retry-After
Scenario: Webhook IP and signature allow-listing
  When a callback comes from a non-allow-listed source or has a bad signature
  Then it is rejected and logged
Scenario: Guest cannot access another session
  Given a valid token for session A
  When the guest requests data of session B
  Then the API returns 403</t>
  </si>
  <si>
    <t xml:space="preserve">US-103</t>
  </si>
  <si>
    <t xml:space="preserve">As a Venue Manager, I want sessions to close automatically after the table is fully paid or has been idle too long so that old sessions cannot be used by someone who scans a QR code later.</t>
  </si>
  <si>
    <t xml:space="preserve">S4</t>
  </si>
  <si>
    <t xml:space="preserve">Scenario: Session closes after full payment
  Given all bill shares in the session are "PAID"
  When the final payment is confirmed
  Then the session status becomes "CLOSED"
  And participants receive a "session.closed" event
Scenario: Idle timeout
  Given a session has had no activity for the venue-configured idle period
  And the bill has an outstanding balance of 0
  When the cleanup job runs
  Then the session is closed
Scenario: Scan after closure
  Given session S1 for "T12" is "CLOSED"
  When a new guest scans the "T12" QR code
  Then a new session is created and S1 data is not visible</t>
  </si>
  <si>
    <t xml:space="preserve">US-104</t>
  </si>
  <si>
    <t xml:space="preserve">As a Waiter, I want to open, move or close a table session from my dashboard so that I can fix situations such as guests changing tables or a QR scanned by mistake.</t>
  </si>
  <si>
    <t xml:space="preserve">Scenario: Waiter closes a session with zero balance
  Given a session with outstanding balance 0
  When the waiter taps "Close table"
  Then the session status becomes "CLOSED"
Scenario: Waiter cannot close an unpaid session without a reason
  Given a session with outstanding balance greater than 0
  When the waiter taps "Close table"
  Then a confirmation asks for a reason (cash paid, comped, walked out)
  And the reason is stored in the audit log
Scenario: Move session to another table
  Given a session on "T12" and table "T15" has no active session
  When the waiter moves the session to "T15"
  Then guests see the new table name and no data is lost</t>
  </si>
  <si>
    <t xml:space="preserve">US-304</t>
  </si>
  <si>
    <t xml:space="preserve">As a Lounge Guest, I want to share items such as a platter or bottle among selected friends so that shared orders are split fairly.</t>
  </si>
  <si>
    <t xml:space="preserve">Scenario: Share one item among three guests
  Given an item priced 60,000 TZS
  When it is shared among 3 selected guests
  Then each guest is allocated 20,000 TZS of the item
Scenario: Rounding on shared item
  Given an item priced 10,000 TZS shared among 3 guests
  Then allocations are 3,334, 3,333 and 3,333 TZS
  And the sum equals the item price</t>
  </si>
  <si>
    <t xml:space="preserve">US-406</t>
  </si>
  <si>
    <t xml:space="preserve">As a Waiter, I want to record a cash payment for a share so that guests who prefer cash can still use the split flow.</t>
  </si>
  <si>
    <t xml:space="preserve">Scenario: Mark share as paid by cash
  Given an unpaid share
  When the waiter marks it "Paid in cash"
  Then the share becomes PAID with method "CASH" and the waiter id is logged</t>
  </si>
  <si>
    <t xml:space="preserve">US-503</t>
  </si>
  <si>
    <t xml:space="preserve">As a Kitchen / Bar Staff, I want orders to be routed to the right station (kitchen vs bar) so that each station sees only its items.</t>
  </si>
  <si>
    <t xml:space="preserve">Scenario: Mixed order is split by station
  Given an order has 1 grill item and 2 drinks
  Then the kitchen KDS shows the grill item and the bar KDS shows the drinks
  And the waiter sees combined order progress</t>
  </si>
  <si>
    <t xml:space="preserve">US-603</t>
  </si>
  <si>
    <t xml:space="preserve">As a Venue Manager, I want a daily summary of sales and payments by method so that I can reconcile at close without manual work.</t>
  </si>
  <si>
    <t xml:space="preserve">Scenario: Daily summary
  When the manager opens "Today"
  Then totals by payment method, number of orders and unsettled tables are shown
Scenario: Export
  When the manager taps export
  Then a CSV for the selected date range is downloaded</t>
  </si>
  <si>
    <t xml:space="preserve">US-604</t>
  </si>
  <si>
    <t xml:space="preserve">Venue Owner</t>
  </si>
  <si>
    <t xml:space="preserve">As a Venue Owner, I want to sign up my venue and manage my subscription so that I can onboard without waiting on the Cloud-Menu team.</t>
  </si>
  <si>
    <t xml:space="preserve">Scenario: Venue sign-up
  When an owner completes the sign-up form
  Then a venue is created in "TRIAL" status with a default table and sample menu
Scenario: Suspension
  When a subscription is overdue by the configured grace period
  Then the venue status becomes "SUSPENDED" and guests see the unavailable page</t>
  </si>
  <si>
    <t xml:space="preserve">US-207</t>
  </si>
  <si>
    <t xml:space="preserve">Could</t>
  </si>
  <si>
    <t xml:space="preserve">As a Lounge Guest, I want to call a waiter from my phone so that I can get help without waving.</t>
  </si>
  <si>
    <t xml:space="preserve">Scenario: Call waiter
  When the guest taps "Call waiter"
  Then the waiter dashboard shows an alert for the table
  And repeated taps within 60 seconds are ignored</t>
  </si>
  <si>
    <t xml:space="preserve">US-306</t>
  </si>
  <si>
    <t xml:space="preserve">As a Lounge Guest, I want to add an optional tip to my share so that I can reward good service.</t>
  </si>
  <si>
    <t xml:space="preserve">Scenario: Add tip
  When the guest adds a 10% tip to their share
  Then the payable amount increases and the tip is recorded separately from the bill</t>
  </si>
  <si>
    <t xml:space="preserve">Weeks</t>
  </si>
  <si>
    <t xml:space="preserve">Must pts</t>
  </si>
  <si>
    <t xml:space="preserve">Should pts</t>
  </si>
  <si>
    <t xml:space="preserve">Could pts</t>
  </si>
  <si>
    <t xml:space="preserve">Focus</t>
  </si>
  <si>
    <t xml:space="preserve">1-2</t>
  </si>
  <si>
    <t xml:space="preserve">Foundation: QR/session, menu, modifiers, cart, order submit, staff auth, menu admin, QR stickers, performance budget</t>
  </si>
  <si>
    <t xml:space="preserve">3-4</t>
  </si>
  <si>
    <t xml:space="preserve">Real-time ops and splitting: KDS, waiter dashboard, bill, equal/itemized split, split lock, payment initiation</t>
  </si>
  <si>
    <t xml:space="preserve">5-6</t>
  </si>
  <si>
    <t xml:space="preserve">Payments hardening: webhooks, retries, reconciliation, receipts, reconnect/resync, security, observability</t>
  </si>
  <si>
    <t xml:space="preserve">7-8</t>
  </si>
  <si>
    <t xml:space="preserve">Polish and launch: session lifecycle, cash payments, routing, reporting, subscription, beta rollout</t>
  </si>
  <si>
    <t xml:space="preserve">Note: capacity assumes a team of about 3-4 engineers plus part-time design/QA. Re-baseline velocity after Sprint 1.</t>
  </si>
  <si>
    <t xml:space="preserve">Area</t>
  </si>
  <si>
    <t xml:space="preserve">Checklist item</t>
  </si>
  <si>
    <t xml:space="preserve">Done?</t>
  </si>
  <si>
    <t xml:space="preserve">Clarity</t>
  </si>
  <si>
    <t xml:space="preserve">Story follows "As a / I want / so that" and is understood by the whole team</t>
  </si>
  <si>
    <t xml:space="preserve">☐</t>
  </si>
  <si>
    <t xml:space="preserve">Acceptance criteria written in Given/When/Then, including at least one negative or error scenario</t>
  </si>
  <si>
    <t xml:space="preserve">Dependencies identified and unblocked (or scheduled earlier)</t>
  </si>
  <si>
    <t xml:space="preserve">Design &amp; UX</t>
  </si>
  <si>
    <t xml:space="preserve">Mobile-first wireframe or mock available for any UI change (360 px width baseline)</t>
  </si>
  <si>
    <t xml:space="preserve">Copy for empty, loading and error states drafted (English and Swahili where guest-facing)</t>
  </si>
  <si>
    <t xml:space="preserve">Touch targets 44 px or larger and contrast requirements noted</t>
  </si>
  <si>
    <t xml:space="preserve">Performance</t>
  </si>
  <si>
    <t xml:space="preserve">Performance impact assessed (bundle size, API calls, image weight) and budget noted</t>
  </si>
  <si>
    <t xml:space="preserve">Behaviour on slow or dropped networks described (retry, offline message, caching)</t>
  </si>
  <si>
    <t xml:space="preserve">Security &amp; data</t>
  </si>
  <si>
    <t xml:space="preserve">Data touched is listed; personal data (phone numbers) minimised and retention noted</t>
  </si>
  <si>
    <t xml:space="preserve">Authorisation rules stated (guest session, staff role, manager)</t>
  </si>
  <si>
    <t xml:space="preserve">Payment-related stories list idempotency and webhook considerations</t>
  </si>
  <si>
    <t xml:space="preserve">Estimate &amp; test</t>
  </si>
  <si>
    <t xml:space="preserve">Story estimated and small enough for one sprint (8 points or less, otherwise split)</t>
  </si>
  <si>
    <t xml:space="preserve">Test data and sandbox credentials available (including payment sandbox)</t>
  </si>
  <si>
    <t xml:space="preserve">Product Owner has confirmed priority and value</t>
  </si>
  <si>
    <t xml:space="preserve">Code quality</t>
  </si>
  <si>
    <t xml:space="preserve">Code reviewed by at least one peer and merged to main through CI</t>
  </si>
  <si>
    <t xml:space="preserve">Unit and integration tests written; critical flows covered; CI green</t>
  </si>
  <si>
    <t xml:space="preserve">No new critical or high static-analysis or dependency vulnerabilities</t>
  </si>
  <si>
    <t xml:space="preserve">Functional</t>
  </si>
  <si>
    <t xml:space="preserve">All Gherkin acceptance criteria demonstrated on staging and passed</t>
  </si>
  <si>
    <t xml:space="preserve">Automated end-to-end test added for money, split and order-state flows</t>
  </si>
  <si>
    <t xml:space="preserve">Product Owner accepted the story in sprint review</t>
  </si>
  <si>
    <t xml:space="preserve">Web performance</t>
  </si>
  <si>
    <t xml:space="preserve">Lighthouse CI passes on Fast 3G / 4x CPU: LCP at most 4.0 s (3G) and 2.5 s (4G profile)</t>
  </si>
  <si>
    <t xml:space="preserve">Guest PWA initial JavaScript at most 150 KB gzipped; images responsive and in modern formats</t>
  </si>
  <si>
    <t xml:space="preserve">Service worker caching verified; repeat load at most 1.5 s</t>
  </si>
  <si>
    <t xml:space="preserve">Real-time reconnect tested with network drops (offline banner, resync works)</t>
  </si>
  <si>
    <t xml:space="preserve">Mobile UX</t>
  </si>
  <si>
    <t xml:space="preserve">Verified on the device matrix (low-end and mid-range Android, iOS Safari, Chrome)</t>
  </si>
  <si>
    <t xml:space="preserve">Works at 360 px width; no horizontal scroll; tap targets 44 px or larger; readable in dim light</t>
  </si>
  <si>
    <t xml:space="preserve">Accessible basics: labels, focus order, colour contrast AA, text scales to 200%</t>
  </si>
  <si>
    <t xml:space="preserve">Guest-facing copy available in English and Swahili</t>
  </si>
  <si>
    <t xml:space="preserve">Security</t>
  </si>
  <si>
    <t xml:space="preserve">Inputs validated server-side; authorisation checked for every endpoint touched</t>
  </si>
  <si>
    <t xml:space="preserve">Secrets only in the secret manager; no secrets in logs or client bundles</t>
  </si>
  <si>
    <t xml:space="preserve">Payment webhooks verified (signature and source), idempotent, and replay-safe</t>
  </si>
  <si>
    <t xml:space="preserve">Rate limits applied to public endpoints; PII (phone numbers) masked in logs</t>
  </si>
  <si>
    <t xml:space="preserve">Operations</t>
  </si>
  <si>
    <t xml:space="preserve">Metrics, structured logs and alerts added for new flows with a correlation id</t>
  </si>
  <si>
    <t xml:space="preserve">Database migrations are backward compatible and tested with rollback</t>
  </si>
  <si>
    <t xml:space="preserve">Runbook or docs updated; feature flag in place for risky changes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</si>
</sst>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name val="Arial"/>
      <family val="0"/>
      <charset val="1"/>
    </font>
    <font>
      <sz val="10"/>
      <name val="Arial"/>
      <family val="0"/>
      <charset val="1"/>
    </font>
    <font>
      <b val="true"/>
      <sz val="10"/>
      <color rgb="FFFFFFFF"/>
      <name val="Arial"/>
      <family val="0"/>
      <charset val="1"/>
    </font>
    <font>
      <b val="true"/>
      <sz val="11"/>
      <name val="Arial"/>
      <family val="0"/>
      <charset val="1"/>
    </font>
    <font>
      <sz val="9"/>
      <name val="Consolas"/>
      <family val="0"/>
      <charset val="1"/>
    </font>
    <font>
      <i val="true"/>
      <sz val="9"/>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FDE9E7"/>
        <bgColor rgb="FFFFF4D6"/>
      </patternFill>
    </fill>
    <fill>
      <patternFill patternType="solid">
        <fgColor rgb="FFFFF4D6"/>
        <bgColor rgb="FFFDE9E7"/>
      </patternFill>
    </fill>
    <fill>
      <patternFill patternType="solid">
        <fgColor rgb="FFE6F2E6"/>
        <bgColor rgb="FFFDE9E7"/>
      </patternFill>
    </fill>
  </fills>
  <borders count="2">
    <border diagonalUp="false" diagonalDown="false">
      <left/>
      <right/>
      <top/>
      <bottom/>
      <diagonal/>
    </border>
    <border diagonalUp="false" diagonalDown="false">
      <left style="thin">
        <color rgb="FFBFC7D1"/>
      </left>
      <right style="thin">
        <color rgb="FFBFC7D1"/>
      </right>
      <top style="thin">
        <color rgb="FFBFC7D1"/>
      </top>
      <bottom style="thin">
        <color rgb="FFBFC7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6F2E6"/>
          <bgColor rgb="FF000000"/>
        </patternFill>
      </fill>
    </dxf>
    <dxf>
      <fill>
        <patternFill patternType="solid">
          <fgColor rgb="FFFDE9E7"/>
          <bgColor rgb="FF000000"/>
        </patternFill>
      </fill>
    </dxf>
    <dxf>
      <fill>
        <patternFill patternType="solid">
          <fgColor rgb="FFFFF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1"/>
      <rgbColor rgb="FF808080"/>
      <rgbColor rgb="FF9999FF"/>
      <rgbColor rgb="FF993366"/>
      <rgbColor rgb="FFFFF4D6"/>
      <rgbColor rgb="FFE6F2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DE9E7"/>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9.7"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23.8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70"/>
    <col collapsed="false" customWidth="true" hidden="false" outlineLevel="0" max="4" min="4" style="0" width="10"/>
    <col collapsed="false" customWidth="true" hidden="false" outlineLevel="0" max="6" min="5" style="0" width="9"/>
  </cols>
  <sheetData>
    <row r="1" customFormat="false" ht="15" hidden="false" customHeight="false" outlineLevel="0" collapsed="false">
      <c r="A1" s="4" t="s">
        <v>15</v>
      </c>
      <c r="B1" s="4" t="s">
        <v>16</v>
      </c>
      <c r="C1" s="4" t="s">
        <v>17</v>
      </c>
      <c r="D1" s="4" t="s">
        <v>5</v>
      </c>
      <c r="E1" s="4" t="s">
        <v>18</v>
      </c>
      <c r="F1" s="4" t="s">
        <v>19</v>
      </c>
    </row>
    <row r="2" customFormat="false" ht="15" hidden="false" customHeight="false" outlineLevel="0" collapsed="false">
      <c r="A2" s="5" t="s">
        <v>20</v>
      </c>
      <c r="B2" s="5" t="s">
        <v>21</v>
      </c>
      <c r="C2" s="5" t="s">
        <v>22</v>
      </c>
      <c r="D2" s="5" t="s">
        <v>23</v>
      </c>
      <c r="E2" s="5" t="n">
        <f aca="false">COUNTIF(Backlog!$B$2:$B$200,A2)</f>
        <v>4</v>
      </c>
      <c r="F2" s="5" t="n">
        <f aca="false">SUMIFS(Backlog!$G$2:$G$200,Backlog!$B$2:$B$200,A2)</f>
        <v>14</v>
      </c>
    </row>
    <row r="3" customFormat="false" ht="15" hidden="false" customHeight="false" outlineLevel="0" collapsed="false">
      <c r="A3" s="5" t="s">
        <v>24</v>
      </c>
      <c r="B3" s="5" t="s">
        <v>25</v>
      </c>
      <c r="C3" s="5" t="s">
        <v>26</v>
      </c>
      <c r="D3" s="5" t="s">
        <v>23</v>
      </c>
      <c r="E3" s="5" t="n">
        <f aca="false">COUNTIF(Backlog!$B$2:$B$200,A3)</f>
        <v>7</v>
      </c>
      <c r="F3" s="5" t="n">
        <f aca="false">SUMIFS(Backlog!$G$2:$G$200,Backlog!$B$2:$B$200,A3)</f>
        <v>32</v>
      </c>
    </row>
    <row r="4" customFormat="false" ht="15" hidden="false" customHeight="false" outlineLevel="0" collapsed="false">
      <c r="A4" s="5" t="s">
        <v>27</v>
      </c>
      <c r="B4" s="5" t="s">
        <v>28</v>
      </c>
      <c r="C4" s="5" t="s">
        <v>29</v>
      </c>
      <c r="D4" s="5" t="s">
        <v>23</v>
      </c>
      <c r="E4" s="5" t="n">
        <f aca="false">COUNTIF(Backlog!$B$2:$B$200,A4)</f>
        <v>6</v>
      </c>
      <c r="F4" s="5" t="n">
        <f aca="false">SUMIFS(Backlog!$G$2:$G$200,Backlog!$B$2:$B$200,A4)</f>
        <v>34</v>
      </c>
    </row>
    <row r="5" customFormat="false" ht="15" hidden="false" customHeight="false" outlineLevel="0" collapsed="false">
      <c r="A5" s="5" t="s">
        <v>30</v>
      </c>
      <c r="B5" s="5" t="s">
        <v>31</v>
      </c>
      <c r="C5" s="5" t="s">
        <v>32</v>
      </c>
      <c r="D5" s="5" t="s">
        <v>23</v>
      </c>
      <c r="E5" s="5" t="n">
        <f aca="false">COUNTIF(Backlog!$B$2:$B$200,A5)</f>
        <v>7</v>
      </c>
      <c r="F5" s="5" t="n">
        <f aca="false">SUMIFS(Backlog!$G$2:$G$200,Backlog!$B$2:$B$200,A5)</f>
        <v>42</v>
      </c>
    </row>
    <row r="6" customFormat="false" ht="15" hidden="false" customHeight="false" outlineLevel="0" collapsed="false">
      <c r="A6" s="5" t="s">
        <v>33</v>
      </c>
      <c r="B6" s="5" t="s">
        <v>34</v>
      </c>
      <c r="C6" s="5" t="s">
        <v>35</v>
      </c>
      <c r="D6" s="5" t="s">
        <v>23</v>
      </c>
      <c r="E6" s="5" t="n">
        <f aca="false">COUNTIF(Backlog!$B$2:$B$200,A6)</f>
        <v>6</v>
      </c>
      <c r="F6" s="5" t="n">
        <f aca="false">SUMIFS(Backlog!$G$2:$G$200,Backlog!$B$2:$B$200,A6)</f>
        <v>42</v>
      </c>
    </row>
    <row r="7" customFormat="false" ht="15" hidden="false" customHeight="false" outlineLevel="0" collapsed="false">
      <c r="A7" s="5" t="s">
        <v>36</v>
      </c>
      <c r="B7" s="5" t="s">
        <v>37</v>
      </c>
      <c r="C7" s="5" t="s">
        <v>38</v>
      </c>
      <c r="D7" s="5" t="s">
        <v>39</v>
      </c>
      <c r="E7" s="5" t="n">
        <f aca="false">COUNTIF(Backlog!$B$2:$B$200,A7)</f>
        <v>4</v>
      </c>
      <c r="F7" s="5" t="n">
        <f aca="false">SUMIFS(Backlog!$G$2:$G$200,Backlog!$B$2:$B$200,A7)</f>
        <v>23</v>
      </c>
    </row>
    <row r="8" customFormat="false" ht="15" hidden="false" customHeight="false" outlineLevel="0" collapsed="false">
      <c r="A8" s="5" t="s">
        <v>40</v>
      </c>
      <c r="B8" s="5" t="s">
        <v>41</v>
      </c>
      <c r="C8" s="5" t="s">
        <v>42</v>
      </c>
      <c r="D8" s="5" t="s">
        <v>23</v>
      </c>
      <c r="E8" s="5" t="n">
        <f aca="false">COUNTIF(Backlog!$B$2:$B$200,A8)</f>
        <v>3</v>
      </c>
      <c r="F8" s="5" t="n">
        <f aca="false">SUMIFS(Backlog!$G$2:$G$200,Backlog!$B$2:$B$200,A8)</f>
        <v>15</v>
      </c>
    </row>
    <row r="9" customFormat="false" ht="15" hidden="false" customHeight="false" outlineLevel="0" collapsed="false">
      <c r="D9" s="6" t="s">
        <v>43</v>
      </c>
      <c r="E9" s="6" t="n">
        <f aca="false">SUM(E2:E8)</f>
        <v>37</v>
      </c>
      <c r="F9" s="6" t="n">
        <f aca="false">SUM(F2:F8)</f>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9"/>
    <col collapsed="false" customWidth="true" hidden="false" outlineLevel="0" max="4" min="4" style="0" width="7"/>
    <col collapsed="false" customWidth="true" hidden="false" outlineLevel="0" max="5" min="5" style="0" width="16"/>
    <col collapsed="false" customWidth="true" hidden="false" outlineLevel="0" max="6" min="6" style="0" width="52"/>
    <col collapsed="false" customWidth="true" hidden="false" outlineLevel="0" max="8" min="7" style="0" width="8"/>
    <col collapsed="false" customWidth="true" hidden="false" outlineLevel="0" max="9" min="9" style="0" width="12"/>
    <col collapsed="false" customWidth="true" hidden="false" outlineLevel="0" max="10" min="10" style="0" width="80"/>
    <col collapsed="false" customWidth="true" hidden="false" outlineLevel="0" max="11" min="11" style="0" width="13"/>
  </cols>
  <sheetData>
    <row r="1" customFormat="false" ht="23.85" hidden="false" customHeight="false" outlineLevel="0" collapsed="false">
      <c r="A1" s="4" t="s">
        <v>44</v>
      </c>
      <c r="B1" s="4" t="s">
        <v>16</v>
      </c>
      <c r="C1" s="4" t="s">
        <v>5</v>
      </c>
      <c r="D1" s="4" t="s">
        <v>45</v>
      </c>
      <c r="E1" s="4" t="s">
        <v>46</v>
      </c>
      <c r="F1" s="4" t="s">
        <v>47</v>
      </c>
      <c r="G1" s="4" t="s">
        <v>19</v>
      </c>
      <c r="H1" s="4" t="s">
        <v>48</v>
      </c>
      <c r="I1" s="4" t="s">
        <v>49</v>
      </c>
      <c r="J1" s="4" t="s">
        <v>50</v>
      </c>
      <c r="K1" s="4" t="s">
        <v>51</v>
      </c>
    </row>
    <row r="2" customFormat="false" ht="212.25" hidden="false" customHeight="true" outlineLevel="0" collapsed="false">
      <c r="A2" s="7" t="s">
        <v>52</v>
      </c>
      <c r="B2" s="7" t="s">
        <v>20</v>
      </c>
      <c r="C2" s="8" t="s">
        <v>23</v>
      </c>
      <c r="D2" s="7" t="n">
        <v>1</v>
      </c>
      <c r="E2" s="5" t="s">
        <v>53</v>
      </c>
      <c r="F2" s="5" t="s">
        <v>54</v>
      </c>
      <c r="G2" s="7" t="n">
        <v>5</v>
      </c>
      <c r="H2" s="7" t="s">
        <v>55</v>
      </c>
      <c r="I2" s="5"/>
      <c r="J2" s="9" t="s">
        <v>56</v>
      </c>
      <c r="K2" s="5" t="s">
        <v>57</v>
      </c>
    </row>
    <row r="3" customFormat="false" ht="199.5" hidden="false" customHeight="true" outlineLevel="0" collapsed="false">
      <c r="A3" s="7" t="s">
        <v>58</v>
      </c>
      <c r="B3" s="7" t="s">
        <v>20</v>
      </c>
      <c r="C3" s="8" t="s">
        <v>23</v>
      </c>
      <c r="D3" s="7" t="n">
        <v>2</v>
      </c>
      <c r="E3" s="5" t="s">
        <v>53</v>
      </c>
      <c r="F3" s="5" t="s">
        <v>59</v>
      </c>
      <c r="G3" s="7" t="n">
        <v>3</v>
      </c>
      <c r="H3" s="7" t="s">
        <v>55</v>
      </c>
      <c r="I3" s="5" t="s">
        <v>52</v>
      </c>
      <c r="J3" s="9" t="s">
        <v>60</v>
      </c>
      <c r="K3" s="5" t="s">
        <v>57</v>
      </c>
    </row>
    <row r="4" customFormat="false" ht="162" hidden="false" customHeight="true" outlineLevel="0" collapsed="false">
      <c r="A4" s="7" t="s">
        <v>61</v>
      </c>
      <c r="B4" s="7" t="s">
        <v>24</v>
      </c>
      <c r="C4" s="8" t="s">
        <v>23</v>
      </c>
      <c r="D4" s="7" t="n">
        <v>3</v>
      </c>
      <c r="E4" s="5" t="s">
        <v>53</v>
      </c>
      <c r="F4" s="5" t="s">
        <v>62</v>
      </c>
      <c r="G4" s="7" t="n">
        <v>8</v>
      </c>
      <c r="H4" s="7" t="s">
        <v>55</v>
      </c>
      <c r="I4" s="5"/>
      <c r="J4" s="9" t="s">
        <v>63</v>
      </c>
      <c r="K4" s="5" t="s">
        <v>57</v>
      </c>
    </row>
    <row r="5" customFormat="false" ht="162" hidden="false" customHeight="true" outlineLevel="0" collapsed="false">
      <c r="A5" s="7" t="s">
        <v>64</v>
      </c>
      <c r="B5" s="7" t="s">
        <v>24</v>
      </c>
      <c r="C5" s="8" t="s">
        <v>23</v>
      </c>
      <c r="D5" s="7" t="n">
        <v>4</v>
      </c>
      <c r="E5" s="5" t="s">
        <v>53</v>
      </c>
      <c r="F5" s="5" t="s">
        <v>65</v>
      </c>
      <c r="G5" s="7" t="n">
        <v>5</v>
      </c>
      <c r="H5" s="7" t="s">
        <v>55</v>
      </c>
      <c r="I5" s="5" t="s">
        <v>61</v>
      </c>
      <c r="J5" s="9" t="s">
        <v>66</v>
      </c>
      <c r="K5" s="5" t="s">
        <v>57</v>
      </c>
    </row>
    <row r="6" customFormat="false" ht="137.25" hidden="false" customHeight="true" outlineLevel="0" collapsed="false">
      <c r="A6" s="7" t="s">
        <v>67</v>
      </c>
      <c r="B6" s="7" t="s">
        <v>24</v>
      </c>
      <c r="C6" s="8" t="s">
        <v>23</v>
      </c>
      <c r="D6" s="7" t="n">
        <v>5</v>
      </c>
      <c r="E6" s="5" t="s">
        <v>53</v>
      </c>
      <c r="F6" s="5" t="s">
        <v>68</v>
      </c>
      <c r="G6" s="7" t="n">
        <v>3</v>
      </c>
      <c r="H6" s="7" t="s">
        <v>55</v>
      </c>
      <c r="I6" s="5" t="s">
        <v>64</v>
      </c>
      <c r="J6" s="9" t="s">
        <v>69</v>
      </c>
      <c r="K6" s="5" t="s">
        <v>57</v>
      </c>
    </row>
    <row r="7" customFormat="false" ht="187.5" hidden="false" customHeight="true" outlineLevel="0" collapsed="false">
      <c r="A7" s="7" t="s">
        <v>70</v>
      </c>
      <c r="B7" s="7" t="s">
        <v>24</v>
      </c>
      <c r="C7" s="8" t="s">
        <v>23</v>
      </c>
      <c r="D7" s="7" t="n">
        <v>6</v>
      </c>
      <c r="E7" s="5" t="s">
        <v>53</v>
      </c>
      <c r="F7" s="5" t="s">
        <v>71</v>
      </c>
      <c r="G7" s="7" t="n">
        <v>8</v>
      </c>
      <c r="H7" s="7" t="s">
        <v>55</v>
      </c>
      <c r="I7" s="5" t="s">
        <v>67</v>
      </c>
      <c r="J7" s="9" t="s">
        <v>72</v>
      </c>
      <c r="K7" s="5" t="s">
        <v>57</v>
      </c>
    </row>
    <row r="8" customFormat="false" ht="124.5" hidden="false" customHeight="true" outlineLevel="0" collapsed="false">
      <c r="A8" s="7" t="s">
        <v>73</v>
      </c>
      <c r="B8" s="7" t="s">
        <v>33</v>
      </c>
      <c r="C8" s="8" t="s">
        <v>23</v>
      </c>
      <c r="D8" s="7" t="n">
        <v>7</v>
      </c>
      <c r="E8" s="5" t="s">
        <v>74</v>
      </c>
      <c r="F8" s="5" t="s">
        <v>75</v>
      </c>
      <c r="G8" s="7" t="n">
        <v>5</v>
      </c>
      <c r="H8" s="7" t="s">
        <v>55</v>
      </c>
      <c r="I8" s="5"/>
      <c r="J8" s="9" t="s">
        <v>76</v>
      </c>
      <c r="K8" s="5" t="s">
        <v>57</v>
      </c>
    </row>
    <row r="9" customFormat="false" ht="112.5" hidden="false" customHeight="true" outlineLevel="0" collapsed="false">
      <c r="A9" s="7" t="s">
        <v>77</v>
      </c>
      <c r="B9" s="7" t="s">
        <v>36</v>
      </c>
      <c r="C9" s="8" t="s">
        <v>23</v>
      </c>
      <c r="D9" s="7" t="n">
        <v>8</v>
      </c>
      <c r="E9" s="5" t="s">
        <v>74</v>
      </c>
      <c r="F9" s="5" t="s">
        <v>78</v>
      </c>
      <c r="G9" s="7" t="n">
        <v>8</v>
      </c>
      <c r="H9" s="7" t="s">
        <v>55</v>
      </c>
      <c r="I9" s="5"/>
      <c r="J9" s="9" t="s">
        <v>79</v>
      </c>
      <c r="K9" s="5" t="s">
        <v>57</v>
      </c>
    </row>
    <row r="10" customFormat="false" ht="87" hidden="false" customHeight="true" outlineLevel="0" collapsed="false">
      <c r="A10" s="7" t="s">
        <v>80</v>
      </c>
      <c r="B10" s="7" t="s">
        <v>36</v>
      </c>
      <c r="C10" s="8" t="s">
        <v>23</v>
      </c>
      <c r="D10" s="7" t="n">
        <v>9</v>
      </c>
      <c r="E10" s="5" t="s">
        <v>74</v>
      </c>
      <c r="F10" s="5" t="s">
        <v>81</v>
      </c>
      <c r="G10" s="7" t="n">
        <v>5</v>
      </c>
      <c r="H10" s="7" t="s">
        <v>55</v>
      </c>
      <c r="I10" s="5"/>
      <c r="J10" s="9" t="s">
        <v>82</v>
      </c>
      <c r="K10" s="5" t="s">
        <v>57</v>
      </c>
    </row>
    <row r="11" customFormat="false" ht="99.75" hidden="false" customHeight="true" outlineLevel="0" collapsed="false">
      <c r="A11" s="7" t="s">
        <v>83</v>
      </c>
      <c r="B11" s="7" t="s">
        <v>40</v>
      </c>
      <c r="C11" s="8" t="s">
        <v>23</v>
      </c>
      <c r="D11" s="7" t="n">
        <v>10</v>
      </c>
      <c r="E11" s="5" t="s">
        <v>53</v>
      </c>
      <c r="F11" s="5" t="s">
        <v>84</v>
      </c>
      <c r="G11" s="7" t="n">
        <v>5</v>
      </c>
      <c r="H11" s="7" t="s">
        <v>55</v>
      </c>
      <c r="I11" s="5"/>
      <c r="J11" s="9" t="s">
        <v>85</v>
      </c>
      <c r="K11" s="5" t="s">
        <v>57</v>
      </c>
    </row>
    <row r="12" customFormat="false" ht="112.5" hidden="false" customHeight="true" outlineLevel="0" collapsed="false">
      <c r="A12" s="7" t="s">
        <v>86</v>
      </c>
      <c r="B12" s="7" t="s">
        <v>27</v>
      </c>
      <c r="C12" s="8" t="s">
        <v>23</v>
      </c>
      <c r="D12" s="7" t="n">
        <v>11</v>
      </c>
      <c r="E12" s="5" t="s">
        <v>53</v>
      </c>
      <c r="F12" s="5" t="s">
        <v>87</v>
      </c>
      <c r="G12" s="7" t="n">
        <v>5</v>
      </c>
      <c r="H12" s="7" t="s">
        <v>88</v>
      </c>
      <c r="I12" s="5" t="s">
        <v>70</v>
      </c>
      <c r="J12" s="9" t="s">
        <v>89</v>
      </c>
      <c r="K12" s="5" t="s">
        <v>57</v>
      </c>
    </row>
    <row r="13" customFormat="false" ht="150" hidden="false" customHeight="true" outlineLevel="0" collapsed="false">
      <c r="A13" s="7" t="s">
        <v>90</v>
      </c>
      <c r="B13" s="7" t="s">
        <v>27</v>
      </c>
      <c r="C13" s="8" t="s">
        <v>23</v>
      </c>
      <c r="D13" s="7" t="n">
        <v>12</v>
      </c>
      <c r="E13" s="5" t="s">
        <v>53</v>
      </c>
      <c r="F13" s="5" t="s">
        <v>91</v>
      </c>
      <c r="G13" s="7" t="n">
        <v>5</v>
      </c>
      <c r="H13" s="7" t="s">
        <v>88</v>
      </c>
      <c r="I13" s="5" t="s">
        <v>86</v>
      </c>
      <c r="J13" s="9" t="s">
        <v>92</v>
      </c>
      <c r="K13" s="5" t="s">
        <v>57</v>
      </c>
    </row>
    <row r="14" customFormat="false" ht="150" hidden="false" customHeight="true" outlineLevel="0" collapsed="false">
      <c r="A14" s="7" t="s">
        <v>93</v>
      </c>
      <c r="B14" s="7" t="s">
        <v>27</v>
      </c>
      <c r="C14" s="8" t="s">
        <v>23</v>
      </c>
      <c r="D14" s="7" t="n">
        <v>13</v>
      </c>
      <c r="E14" s="5" t="s">
        <v>53</v>
      </c>
      <c r="F14" s="5" t="s">
        <v>94</v>
      </c>
      <c r="G14" s="7" t="n">
        <v>8</v>
      </c>
      <c r="H14" s="7" t="s">
        <v>88</v>
      </c>
      <c r="I14" s="5" t="s">
        <v>86</v>
      </c>
      <c r="J14" s="9" t="s">
        <v>95</v>
      </c>
      <c r="K14" s="5" t="s">
        <v>57</v>
      </c>
    </row>
    <row r="15" customFormat="false" ht="174.75" hidden="false" customHeight="true" outlineLevel="0" collapsed="false">
      <c r="A15" s="7" t="s">
        <v>96</v>
      </c>
      <c r="B15" s="7" t="s">
        <v>27</v>
      </c>
      <c r="C15" s="8" t="s">
        <v>23</v>
      </c>
      <c r="D15" s="7" t="n">
        <v>14</v>
      </c>
      <c r="E15" s="5" t="s">
        <v>53</v>
      </c>
      <c r="F15" s="5" t="s">
        <v>97</v>
      </c>
      <c r="G15" s="7" t="n">
        <v>8</v>
      </c>
      <c r="H15" s="7" t="s">
        <v>88</v>
      </c>
      <c r="I15" s="5" t="s">
        <v>90</v>
      </c>
      <c r="J15" s="9" t="s">
        <v>98</v>
      </c>
      <c r="K15" s="5" t="s">
        <v>57</v>
      </c>
    </row>
    <row r="16" customFormat="false" ht="162" hidden="false" customHeight="true" outlineLevel="0" collapsed="false">
      <c r="A16" s="7" t="s">
        <v>99</v>
      </c>
      <c r="B16" s="7" t="s">
        <v>30</v>
      </c>
      <c r="C16" s="8" t="s">
        <v>23</v>
      </c>
      <c r="D16" s="7" t="n">
        <v>15</v>
      </c>
      <c r="E16" s="5" t="s">
        <v>53</v>
      </c>
      <c r="F16" s="5" t="s">
        <v>100</v>
      </c>
      <c r="G16" s="7" t="n">
        <v>8</v>
      </c>
      <c r="H16" s="7" t="s">
        <v>88</v>
      </c>
      <c r="I16" s="5" t="s">
        <v>96</v>
      </c>
      <c r="J16" s="9" t="s">
        <v>101</v>
      </c>
      <c r="K16" s="5" t="s">
        <v>57</v>
      </c>
    </row>
    <row r="17" customFormat="false" ht="124.5" hidden="false" customHeight="true" outlineLevel="0" collapsed="false">
      <c r="A17" s="7" t="s">
        <v>102</v>
      </c>
      <c r="B17" s="7" t="s">
        <v>33</v>
      </c>
      <c r="C17" s="8" t="s">
        <v>23</v>
      </c>
      <c r="D17" s="7" t="n">
        <v>16</v>
      </c>
      <c r="E17" s="5" t="s">
        <v>103</v>
      </c>
      <c r="F17" s="5" t="s">
        <v>104</v>
      </c>
      <c r="G17" s="7" t="n">
        <v>8</v>
      </c>
      <c r="H17" s="7" t="s">
        <v>88</v>
      </c>
      <c r="I17" s="5" t="s">
        <v>70</v>
      </c>
      <c r="J17" s="9" t="s">
        <v>105</v>
      </c>
      <c r="K17" s="5" t="s">
        <v>57</v>
      </c>
    </row>
    <row r="18" customFormat="false" ht="162" hidden="false" customHeight="true" outlineLevel="0" collapsed="false">
      <c r="A18" s="7" t="s">
        <v>106</v>
      </c>
      <c r="B18" s="7" t="s">
        <v>33</v>
      </c>
      <c r="C18" s="8" t="s">
        <v>23</v>
      </c>
      <c r="D18" s="7" t="n">
        <v>17</v>
      </c>
      <c r="E18" s="5" t="s">
        <v>103</v>
      </c>
      <c r="F18" s="5" t="s">
        <v>107</v>
      </c>
      <c r="G18" s="7" t="n">
        <v>8</v>
      </c>
      <c r="H18" s="7" t="s">
        <v>88</v>
      </c>
      <c r="I18" s="5" t="s">
        <v>102</v>
      </c>
      <c r="J18" s="9" t="s">
        <v>108</v>
      </c>
      <c r="K18" s="5" t="s">
        <v>57</v>
      </c>
    </row>
    <row r="19" customFormat="false" ht="112.5" hidden="false" customHeight="true" outlineLevel="0" collapsed="false">
      <c r="A19" s="7" t="s">
        <v>109</v>
      </c>
      <c r="B19" s="7" t="s">
        <v>33</v>
      </c>
      <c r="C19" s="8" t="s">
        <v>23</v>
      </c>
      <c r="D19" s="7" t="n">
        <v>18</v>
      </c>
      <c r="E19" s="5" t="s">
        <v>110</v>
      </c>
      <c r="F19" s="5" t="s">
        <v>111</v>
      </c>
      <c r="G19" s="7" t="n">
        <v>8</v>
      </c>
      <c r="H19" s="7" t="s">
        <v>88</v>
      </c>
      <c r="I19" s="5" t="s">
        <v>102</v>
      </c>
      <c r="J19" s="9" t="s">
        <v>112</v>
      </c>
      <c r="K19" s="5" t="s">
        <v>57</v>
      </c>
    </row>
    <row r="20" customFormat="false" ht="112.5" hidden="false" customHeight="true" outlineLevel="0" collapsed="false">
      <c r="A20" s="7" t="s">
        <v>113</v>
      </c>
      <c r="B20" s="7" t="s">
        <v>24</v>
      </c>
      <c r="C20" s="8" t="s">
        <v>23</v>
      </c>
      <c r="D20" s="7" t="n">
        <v>19</v>
      </c>
      <c r="E20" s="5" t="s">
        <v>110</v>
      </c>
      <c r="F20" s="5" t="s">
        <v>114</v>
      </c>
      <c r="G20" s="7" t="n">
        <v>3</v>
      </c>
      <c r="H20" s="7" t="s">
        <v>115</v>
      </c>
      <c r="I20" s="5" t="s">
        <v>70</v>
      </c>
      <c r="J20" s="9" t="s">
        <v>116</v>
      </c>
      <c r="K20" s="5" t="s">
        <v>57</v>
      </c>
    </row>
    <row r="21" customFormat="false" ht="87" hidden="false" customHeight="true" outlineLevel="0" collapsed="false">
      <c r="A21" s="7" t="s">
        <v>117</v>
      </c>
      <c r="B21" s="7" t="s">
        <v>24</v>
      </c>
      <c r="C21" s="8" t="s">
        <v>23</v>
      </c>
      <c r="D21" s="7" t="n">
        <v>20</v>
      </c>
      <c r="E21" s="5" t="s">
        <v>53</v>
      </c>
      <c r="F21" s="5" t="s">
        <v>118</v>
      </c>
      <c r="G21" s="7" t="n">
        <v>3</v>
      </c>
      <c r="H21" s="7" t="s">
        <v>115</v>
      </c>
      <c r="I21" s="5" t="s">
        <v>106</v>
      </c>
      <c r="J21" s="9" t="s">
        <v>119</v>
      </c>
      <c r="K21" s="5" t="s">
        <v>57</v>
      </c>
    </row>
    <row r="22" customFormat="false" ht="150" hidden="false" customHeight="true" outlineLevel="0" collapsed="false">
      <c r="A22" s="7" t="s">
        <v>120</v>
      </c>
      <c r="B22" s="7" t="s">
        <v>30</v>
      </c>
      <c r="C22" s="8" t="s">
        <v>23</v>
      </c>
      <c r="D22" s="7" t="n">
        <v>21</v>
      </c>
      <c r="E22" s="5" t="s">
        <v>53</v>
      </c>
      <c r="F22" s="5" t="s">
        <v>121</v>
      </c>
      <c r="G22" s="7" t="n">
        <v>8</v>
      </c>
      <c r="H22" s="7" t="s">
        <v>115</v>
      </c>
      <c r="I22" s="5" t="s">
        <v>99</v>
      </c>
      <c r="J22" s="9" t="s">
        <v>122</v>
      </c>
      <c r="K22" s="5" t="s">
        <v>57</v>
      </c>
    </row>
    <row r="23" customFormat="false" ht="112.5" hidden="false" customHeight="true" outlineLevel="0" collapsed="false">
      <c r="A23" s="7" t="s">
        <v>123</v>
      </c>
      <c r="B23" s="7" t="s">
        <v>30</v>
      </c>
      <c r="C23" s="8" t="s">
        <v>23</v>
      </c>
      <c r="D23" s="7" t="n">
        <v>22</v>
      </c>
      <c r="E23" s="5" t="s">
        <v>53</v>
      </c>
      <c r="F23" s="5" t="s">
        <v>124</v>
      </c>
      <c r="G23" s="7" t="n">
        <v>5</v>
      </c>
      <c r="H23" s="7" t="s">
        <v>115</v>
      </c>
      <c r="I23" s="5" t="s">
        <v>120</v>
      </c>
      <c r="J23" s="9" t="s">
        <v>125</v>
      </c>
      <c r="K23" s="5" t="s">
        <v>57</v>
      </c>
    </row>
    <row r="24" customFormat="false" ht="137.25" hidden="false" customHeight="true" outlineLevel="0" collapsed="false">
      <c r="A24" s="7" t="s">
        <v>126</v>
      </c>
      <c r="B24" s="7" t="s">
        <v>30</v>
      </c>
      <c r="C24" s="8" t="s">
        <v>23</v>
      </c>
      <c r="D24" s="7" t="n">
        <v>23</v>
      </c>
      <c r="E24" s="5" t="s">
        <v>74</v>
      </c>
      <c r="F24" s="5" t="s">
        <v>127</v>
      </c>
      <c r="G24" s="7" t="n">
        <v>8</v>
      </c>
      <c r="H24" s="7" t="s">
        <v>115</v>
      </c>
      <c r="I24" s="5" t="s">
        <v>120</v>
      </c>
      <c r="J24" s="9" t="s">
        <v>128</v>
      </c>
      <c r="K24" s="5" t="s">
        <v>57</v>
      </c>
    </row>
    <row r="25" customFormat="false" ht="62.25" hidden="false" customHeight="true" outlineLevel="0" collapsed="false">
      <c r="A25" s="7" t="s">
        <v>129</v>
      </c>
      <c r="B25" s="7" t="s">
        <v>30</v>
      </c>
      <c r="C25" s="8" t="s">
        <v>23</v>
      </c>
      <c r="D25" s="7" t="n">
        <v>24</v>
      </c>
      <c r="E25" s="5" t="s">
        <v>53</v>
      </c>
      <c r="F25" s="5" t="s">
        <v>130</v>
      </c>
      <c r="G25" s="7" t="n">
        <v>5</v>
      </c>
      <c r="H25" s="7" t="s">
        <v>115</v>
      </c>
      <c r="I25" s="5" t="s">
        <v>120</v>
      </c>
      <c r="J25" s="9" t="s">
        <v>131</v>
      </c>
      <c r="K25" s="5" t="s">
        <v>57</v>
      </c>
    </row>
    <row r="26" customFormat="false" ht="112.5" hidden="false" customHeight="true" outlineLevel="0" collapsed="false">
      <c r="A26" s="7" t="s">
        <v>132</v>
      </c>
      <c r="B26" s="7" t="s">
        <v>30</v>
      </c>
      <c r="C26" s="8" t="s">
        <v>23</v>
      </c>
      <c r="D26" s="7" t="n">
        <v>25</v>
      </c>
      <c r="E26" s="5" t="s">
        <v>53</v>
      </c>
      <c r="F26" s="5" t="s">
        <v>133</v>
      </c>
      <c r="G26" s="7" t="n">
        <v>5</v>
      </c>
      <c r="H26" s="7" t="s">
        <v>115</v>
      </c>
      <c r="I26" s="5" t="s">
        <v>120</v>
      </c>
      <c r="J26" s="9" t="s">
        <v>134</v>
      </c>
      <c r="K26" s="5" t="s">
        <v>57</v>
      </c>
    </row>
    <row r="27" customFormat="false" ht="150" hidden="false" customHeight="true" outlineLevel="0" collapsed="false">
      <c r="A27" s="7" t="s">
        <v>135</v>
      </c>
      <c r="B27" s="7" t="s">
        <v>33</v>
      </c>
      <c r="C27" s="8" t="s">
        <v>23</v>
      </c>
      <c r="D27" s="7" t="n">
        <v>26</v>
      </c>
      <c r="E27" s="5" t="s">
        <v>110</v>
      </c>
      <c r="F27" s="5" t="s">
        <v>136</v>
      </c>
      <c r="G27" s="7" t="n">
        <v>8</v>
      </c>
      <c r="H27" s="7" t="s">
        <v>115</v>
      </c>
      <c r="I27" s="5" t="s">
        <v>102</v>
      </c>
      <c r="J27" s="9" t="s">
        <v>137</v>
      </c>
      <c r="K27" s="5" t="s">
        <v>57</v>
      </c>
    </row>
    <row r="28" customFormat="false" ht="75" hidden="false" customHeight="true" outlineLevel="0" collapsed="false">
      <c r="A28" s="7" t="s">
        <v>138</v>
      </c>
      <c r="B28" s="7" t="s">
        <v>40</v>
      </c>
      <c r="C28" s="8" t="s">
        <v>23</v>
      </c>
      <c r="D28" s="7" t="n">
        <v>27</v>
      </c>
      <c r="E28" s="5" t="s">
        <v>139</v>
      </c>
      <c r="F28" s="5" t="s">
        <v>140</v>
      </c>
      <c r="G28" s="7" t="n">
        <v>5</v>
      </c>
      <c r="H28" s="7" t="s">
        <v>115</v>
      </c>
      <c r="I28" s="5"/>
      <c r="J28" s="9" t="s">
        <v>141</v>
      </c>
      <c r="K28" s="5" t="s">
        <v>57</v>
      </c>
    </row>
    <row r="29" customFormat="false" ht="124.5" hidden="false" customHeight="true" outlineLevel="0" collapsed="false">
      <c r="A29" s="7" t="s">
        <v>142</v>
      </c>
      <c r="B29" s="7" t="s">
        <v>40</v>
      </c>
      <c r="C29" s="8" t="s">
        <v>23</v>
      </c>
      <c r="D29" s="7" t="n">
        <v>28</v>
      </c>
      <c r="E29" s="5" t="s">
        <v>139</v>
      </c>
      <c r="F29" s="5" t="s">
        <v>143</v>
      </c>
      <c r="G29" s="7" t="n">
        <v>5</v>
      </c>
      <c r="H29" s="7" t="s">
        <v>115</v>
      </c>
      <c r="I29" s="5"/>
      <c r="J29" s="9" t="s">
        <v>144</v>
      </c>
      <c r="K29" s="5" t="s">
        <v>57</v>
      </c>
    </row>
    <row r="30" customFormat="false" ht="174.75" hidden="false" customHeight="true" outlineLevel="0" collapsed="false">
      <c r="A30" s="7" t="s">
        <v>145</v>
      </c>
      <c r="B30" s="7" t="s">
        <v>20</v>
      </c>
      <c r="C30" s="10" t="s">
        <v>39</v>
      </c>
      <c r="D30" s="7" t="n">
        <v>29</v>
      </c>
      <c r="E30" s="5" t="s">
        <v>74</v>
      </c>
      <c r="F30" s="5" t="s">
        <v>146</v>
      </c>
      <c r="G30" s="7" t="n">
        <v>3</v>
      </c>
      <c r="H30" s="7" t="s">
        <v>147</v>
      </c>
      <c r="I30" s="5" t="s">
        <v>52</v>
      </c>
      <c r="J30" s="9" t="s">
        <v>148</v>
      </c>
      <c r="K30" s="5" t="s">
        <v>57</v>
      </c>
    </row>
    <row r="31" customFormat="false" ht="162" hidden="false" customHeight="true" outlineLevel="0" collapsed="false">
      <c r="A31" s="7" t="s">
        <v>149</v>
      </c>
      <c r="B31" s="7" t="s">
        <v>20</v>
      </c>
      <c r="C31" s="10" t="s">
        <v>39</v>
      </c>
      <c r="D31" s="7" t="n">
        <v>30</v>
      </c>
      <c r="E31" s="5" t="s">
        <v>110</v>
      </c>
      <c r="F31" s="5" t="s">
        <v>150</v>
      </c>
      <c r="G31" s="7" t="n">
        <v>3</v>
      </c>
      <c r="H31" s="7" t="s">
        <v>147</v>
      </c>
      <c r="I31" s="5" t="s">
        <v>109</v>
      </c>
      <c r="J31" s="9" t="s">
        <v>151</v>
      </c>
      <c r="K31" s="5" t="s">
        <v>57</v>
      </c>
    </row>
    <row r="32" customFormat="false" ht="99.75" hidden="false" customHeight="true" outlineLevel="0" collapsed="false">
      <c r="A32" s="7" t="s">
        <v>152</v>
      </c>
      <c r="B32" s="7" t="s">
        <v>27</v>
      </c>
      <c r="C32" s="10" t="s">
        <v>39</v>
      </c>
      <c r="D32" s="7" t="n">
        <v>31</v>
      </c>
      <c r="E32" s="5" t="s">
        <v>53</v>
      </c>
      <c r="F32" s="5" t="s">
        <v>153</v>
      </c>
      <c r="G32" s="7" t="n">
        <v>5</v>
      </c>
      <c r="H32" s="7" t="s">
        <v>147</v>
      </c>
      <c r="I32" s="5" t="s">
        <v>93</v>
      </c>
      <c r="J32" s="9" t="s">
        <v>154</v>
      </c>
      <c r="K32" s="5" t="s">
        <v>57</v>
      </c>
    </row>
    <row r="33" customFormat="false" ht="60" hidden="false" customHeight="true" outlineLevel="0" collapsed="false">
      <c r="A33" s="7" t="s">
        <v>155</v>
      </c>
      <c r="B33" s="7" t="s">
        <v>30</v>
      </c>
      <c r="C33" s="10" t="s">
        <v>39</v>
      </c>
      <c r="D33" s="7" t="n">
        <v>32</v>
      </c>
      <c r="E33" s="5" t="s">
        <v>110</v>
      </c>
      <c r="F33" s="5" t="s">
        <v>156</v>
      </c>
      <c r="G33" s="7" t="n">
        <v>3</v>
      </c>
      <c r="H33" s="7" t="s">
        <v>147</v>
      </c>
      <c r="I33" s="5" t="s">
        <v>109</v>
      </c>
      <c r="J33" s="9" t="s">
        <v>157</v>
      </c>
      <c r="K33" s="5" t="s">
        <v>57</v>
      </c>
    </row>
    <row r="34" customFormat="false" ht="60" hidden="false" customHeight="true" outlineLevel="0" collapsed="false">
      <c r="A34" s="7" t="s">
        <v>158</v>
      </c>
      <c r="B34" s="7" t="s">
        <v>33</v>
      </c>
      <c r="C34" s="10" t="s">
        <v>39</v>
      </c>
      <c r="D34" s="7" t="n">
        <v>33</v>
      </c>
      <c r="E34" s="5" t="s">
        <v>103</v>
      </c>
      <c r="F34" s="5" t="s">
        <v>159</v>
      </c>
      <c r="G34" s="7" t="n">
        <v>5</v>
      </c>
      <c r="H34" s="7" t="s">
        <v>147</v>
      </c>
      <c r="I34" s="5" t="s">
        <v>102</v>
      </c>
      <c r="J34" s="9" t="s">
        <v>160</v>
      </c>
      <c r="K34" s="5" t="s">
        <v>57</v>
      </c>
    </row>
    <row r="35" customFormat="false" ht="75" hidden="false" customHeight="true" outlineLevel="0" collapsed="false">
      <c r="A35" s="7" t="s">
        <v>161</v>
      </c>
      <c r="B35" s="7" t="s">
        <v>36</v>
      </c>
      <c r="C35" s="10" t="s">
        <v>39</v>
      </c>
      <c r="D35" s="7" t="n">
        <v>34</v>
      </c>
      <c r="E35" s="5" t="s">
        <v>74</v>
      </c>
      <c r="F35" s="5" t="s">
        <v>162</v>
      </c>
      <c r="G35" s="7" t="n">
        <v>5</v>
      </c>
      <c r="H35" s="7" t="s">
        <v>147</v>
      </c>
      <c r="I35" s="5" t="s">
        <v>120</v>
      </c>
      <c r="J35" s="9" t="s">
        <v>163</v>
      </c>
      <c r="K35" s="5" t="s">
        <v>57</v>
      </c>
    </row>
    <row r="36" customFormat="false" ht="75" hidden="false" customHeight="true" outlineLevel="0" collapsed="false">
      <c r="A36" s="7" t="s">
        <v>164</v>
      </c>
      <c r="B36" s="7" t="s">
        <v>36</v>
      </c>
      <c r="C36" s="10" t="s">
        <v>39</v>
      </c>
      <c r="D36" s="7" t="n">
        <v>35</v>
      </c>
      <c r="E36" s="5" t="s">
        <v>165</v>
      </c>
      <c r="F36" s="5" t="s">
        <v>166</v>
      </c>
      <c r="G36" s="7" t="n">
        <v>5</v>
      </c>
      <c r="H36" s="7" t="s">
        <v>147</v>
      </c>
      <c r="I36" s="5"/>
      <c r="J36" s="9" t="s">
        <v>167</v>
      </c>
      <c r="K36" s="5" t="s">
        <v>57</v>
      </c>
    </row>
    <row r="37" customFormat="false" ht="60" hidden="false" customHeight="true" outlineLevel="0" collapsed="false">
      <c r="A37" s="7" t="s">
        <v>168</v>
      </c>
      <c r="B37" s="7" t="s">
        <v>24</v>
      </c>
      <c r="C37" s="11" t="s">
        <v>169</v>
      </c>
      <c r="D37" s="7" t="n">
        <v>36</v>
      </c>
      <c r="E37" s="5" t="s">
        <v>53</v>
      </c>
      <c r="F37" s="5" t="s">
        <v>170</v>
      </c>
      <c r="G37" s="7" t="n">
        <v>2</v>
      </c>
      <c r="H37" s="7" t="s">
        <v>147</v>
      </c>
      <c r="I37" s="5" t="s">
        <v>109</v>
      </c>
      <c r="J37" s="9" t="s">
        <v>171</v>
      </c>
      <c r="K37" s="5" t="s">
        <v>57</v>
      </c>
    </row>
    <row r="38" customFormat="false" ht="60" hidden="false" customHeight="true" outlineLevel="0" collapsed="false">
      <c r="A38" s="7" t="s">
        <v>172</v>
      </c>
      <c r="B38" s="7" t="s">
        <v>27</v>
      </c>
      <c r="C38" s="11" t="s">
        <v>169</v>
      </c>
      <c r="D38" s="7" t="n">
        <v>37</v>
      </c>
      <c r="E38" s="5" t="s">
        <v>53</v>
      </c>
      <c r="F38" s="5" t="s">
        <v>173</v>
      </c>
      <c r="G38" s="7" t="n">
        <v>3</v>
      </c>
      <c r="H38" s="7" t="s">
        <v>147</v>
      </c>
      <c r="I38" s="5" t="s">
        <v>96</v>
      </c>
      <c r="J38" s="9" t="s">
        <v>174</v>
      </c>
      <c r="K38" s="5" t="s">
        <v>57</v>
      </c>
    </row>
  </sheetData>
  <autoFilter ref="A1:K38"/>
  <dataValidations count="1">
    <dataValidation allowBlank="false" errorStyle="stop" operator="between" showDropDown="false" showErrorMessage="false" showInputMessage="false" sqref="K2:K98" type="list">
      <formula1>"Not started,In progress,In review,Done,Blocked"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7" min="5" style="0" width="11"/>
    <col collapsed="false" customWidth="true" hidden="false" outlineLevel="0" max="8" min="8" style="0" width="70"/>
  </cols>
  <sheetData>
    <row r="1" customFormat="false" ht="15" hidden="false" customHeight="false" outlineLevel="0" collapsed="false">
      <c r="A1" s="4" t="s">
        <v>48</v>
      </c>
      <c r="B1" s="4" t="s">
        <v>175</v>
      </c>
      <c r="C1" s="4" t="s">
        <v>18</v>
      </c>
      <c r="D1" s="4" t="s">
        <v>19</v>
      </c>
      <c r="E1" s="4" t="s">
        <v>176</v>
      </c>
      <c r="F1" s="4" t="s">
        <v>177</v>
      </c>
      <c r="G1" s="4" t="s">
        <v>178</v>
      </c>
      <c r="H1" s="4" t="s">
        <v>179</v>
      </c>
    </row>
    <row r="2" customFormat="false" ht="23.85" hidden="false" customHeight="false" outlineLevel="0" collapsed="false">
      <c r="A2" s="5" t="s">
        <v>55</v>
      </c>
      <c r="B2" s="5" t="s">
        <v>180</v>
      </c>
      <c r="C2" s="5" t="n">
        <f aca="false">COUNTIF(Backlog!$H$2:$H$200,A2)</f>
        <v>10</v>
      </c>
      <c r="D2" s="5" t="n">
        <f aca="false">SUMIFS(Backlog!$G$2:$G$200,Backlog!$H$2:$H$200,A2)</f>
        <v>55</v>
      </c>
      <c r="E2" s="5" t="n">
        <f aca="false">SUMIFS(Backlog!$G$2:$G$200,Backlog!$H$2:$H$200,$A2,Backlog!$C$2:$C$200,"Must")</f>
        <v>55</v>
      </c>
      <c r="F2" s="5" t="n">
        <f aca="false">SUMIFS(Backlog!$G$2:$G$200,Backlog!$H$2:$H$200,$A2,Backlog!$C$2:$C$200,"Should")</f>
        <v>0</v>
      </c>
      <c r="G2" s="5" t="n">
        <f aca="false">SUMIFS(Backlog!$G$2:$G$200,Backlog!$H$2:$H$200,$A2,Backlog!$C$2:$C$200,"Could")</f>
        <v>0</v>
      </c>
      <c r="H2" s="5" t="s">
        <v>181</v>
      </c>
    </row>
    <row r="3" customFormat="false" ht="23.85" hidden="false" customHeight="false" outlineLevel="0" collapsed="false">
      <c r="A3" s="5" t="s">
        <v>88</v>
      </c>
      <c r="B3" s="5" t="s">
        <v>182</v>
      </c>
      <c r="C3" s="5" t="n">
        <f aca="false">COUNTIF(Backlog!$H$2:$H$200,A3)</f>
        <v>8</v>
      </c>
      <c r="D3" s="5" t="n">
        <f aca="false">SUMIFS(Backlog!$G$2:$G$200,Backlog!$H$2:$H$200,A3)</f>
        <v>58</v>
      </c>
      <c r="E3" s="5" t="n">
        <f aca="false">SUMIFS(Backlog!$G$2:$G$200,Backlog!$H$2:$H$200,$A3,Backlog!$C$2:$C$200,"Must")</f>
        <v>58</v>
      </c>
      <c r="F3" s="5" t="n">
        <f aca="false">SUMIFS(Backlog!$G$2:$G$200,Backlog!$H$2:$H$200,$A3,Backlog!$C$2:$C$200,"Should")</f>
        <v>0</v>
      </c>
      <c r="G3" s="5" t="n">
        <f aca="false">SUMIFS(Backlog!$G$2:$G$200,Backlog!$H$2:$H$200,$A3,Backlog!$C$2:$C$200,"Could")</f>
        <v>0</v>
      </c>
      <c r="H3" s="5" t="s">
        <v>183</v>
      </c>
    </row>
    <row r="4" customFormat="false" ht="23.85" hidden="false" customHeight="false" outlineLevel="0" collapsed="false">
      <c r="A4" s="5" t="s">
        <v>115</v>
      </c>
      <c r="B4" s="5" t="s">
        <v>184</v>
      </c>
      <c r="C4" s="5" t="n">
        <f aca="false">COUNTIF(Backlog!$H$2:$H$200,A4)</f>
        <v>10</v>
      </c>
      <c r="D4" s="5" t="n">
        <f aca="false">SUMIFS(Backlog!$G$2:$G$200,Backlog!$H$2:$H$200,A4)</f>
        <v>55</v>
      </c>
      <c r="E4" s="5" t="n">
        <f aca="false">SUMIFS(Backlog!$G$2:$G$200,Backlog!$H$2:$H$200,$A4,Backlog!$C$2:$C$200,"Must")</f>
        <v>55</v>
      </c>
      <c r="F4" s="5" t="n">
        <f aca="false">SUMIFS(Backlog!$G$2:$G$200,Backlog!$H$2:$H$200,$A4,Backlog!$C$2:$C$200,"Should")</f>
        <v>0</v>
      </c>
      <c r="G4" s="5" t="n">
        <f aca="false">SUMIFS(Backlog!$G$2:$G$200,Backlog!$H$2:$H$200,$A4,Backlog!$C$2:$C$200,"Could")</f>
        <v>0</v>
      </c>
      <c r="H4" s="5" t="s">
        <v>185</v>
      </c>
    </row>
    <row r="5" customFormat="false" ht="23.85" hidden="false" customHeight="false" outlineLevel="0" collapsed="false">
      <c r="A5" s="5" t="s">
        <v>147</v>
      </c>
      <c r="B5" s="5" t="s">
        <v>186</v>
      </c>
      <c r="C5" s="5" t="n">
        <f aca="false">COUNTIF(Backlog!$H$2:$H$200,A5)</f>
        <v>9</v>
      </c>
      <c r="D5" s="5" t="n">
        <f aca="false">SUMIFS(Backlog!$G$2:$G$200,Backlog!$H$2:$H$200,A5)</f>
        <v>34</v>
      </c>
      <c r="E5" s="5" t="n">
        <f aca="false">SUMIFS(Backlog!$G$2:$G$200,Backlog!$H$2:$H$200,$A5,Backlog!$C$2:$C$200,"Must")</f>
        <v>0</v>
      </c>
      <c r="F5" s="5" t="n">
        <f aca="false">SUMIFS(Backlog!$G$2:$G$200,Backlog!$H$2:$H$200,$A5,Backlog!$C$2:$C$200,"Should")</f>
        <v>29</v>
      </c>
      <c r="G5" s="5" t="n">
        <f aca="false">SUMIFS(Backlog!$G$2:$G$200,Backlog!$H$2:$H$200,$A5,Backlog!$C$2:$C$200,"Could")</f>
        <v>5</v>
      </c>
      <c r="H5" s="5" t="s">
        <v>187</v>
      </c>
    </row>
    <row r="6" customFormat="false" ht="15" hidden="false" customHeight="false" outlineLevel="0" collapsed="false">
      <c r="A6" s="6" t="s">
        <v>43</v>
      </c>
      <c r="C6" s="6" t="n">
        <f aca="false">SUM(C2:C5)</f>
        <v>37</v>
      </c>
      <c r="D6" s="6" t="n">
        <f aca="false">SUM(D2:D5)</f>
        <v>202</v>
      </c>
      <c r="E6" s="6" t="n">
        <f aca="false">SUM(E2:E5)</f>
        <v>168</v>
      </c>
      <c r="F6" s="6" t="n">
        <f aca="false">SUM(F2:F5)</f>
        <v>29</v>
      </c>
      <c r="G6" s="6" t="n">
        <f aca="false">SUM(G2:G5)</f>
        <v>5</v>
      </c>
    </row>
    <row r="8" customFormat="false" ht="15" hidden="false" customHeight="false" outlineLevel="0" collapsed="false">
      <c r="A8" s="12"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 collapsed="false" customWidth="true" hidden="false" outlineLevel="0" max="3" min="3" style="0" width="10"/>
  </cols>
  <sheetData>
    <row r="1" customFormat="false" ht="15" hidden="false" customHeight="false" outlineLevel="0" collapsed="false">
      <c r="A1" s="4" t="s">
        <v>189</v>
      </c>
      <c r="B1" s="4" t="s">
        <v>190</v>
      </c>
      <c r="C1" s="4" t="s">
        <v>191</v>
      </c>
    </row>
    <row r="2" customFormat="false" ht="15" hidden="false" customHeight="false" outlineLevel="0" collapsed="false">
      <c r="A2" s="5" t="s">
        <v>192</v>
      </c>
      <c r="B2" s="5" t="s">
        <v>193</v>
      </c>
      <c r="C2" s="7" t="s">
        <v>194</v>
      </c>
    </row>
    <row r="3" customFormat="false" ht="15" hidden="false" customHeight="false" outlineLevel="0" collapsed="false">
      <c r="A3" s="5" t="s">
        <v>192</v>
      </c>
      <c r="B3" s="5" t="s">
        <v>195</v>
      </c>
      <c r="C3" s="7" t="s">
        <v>194</v>
      </c>
    </row>
    <row r="4" customFormat="false" ht="15" hidden="false" customHeight="false" outlineLevel="0" collapsed="false">
      <c r="A4" s="5" t="s">
        <v>192</v>
      </c>
      <c r="B4" s="5" t="s">
        <v>196</v>
      </c>
      <c r="C4" s="7" t="s">
        <v>194</v>
      </c>
    </row>
    <row r="5" customFormat="false" ht="15" hidden="false" customHeight="false" outlineLevel="0" collapsed="false">
      <c r="A5" s="5" t="s">
        <v>197</v>
      </c>
      <c r="B5" s="5" t="s">
        <v>198</v>
      </c>
      <c r="C5" s="7" t="s">
        <v>194</v>
      </c>
    </row>
    <row r="6" customFormat="false" ht="15" hidden="false" customHeight="false" outlineLevel="0" collapsed="false">
      <c r="A6" s="5" t="s">
        <v>197</v>
      </c>
      <c r="B6" s="5" t="s">
        <v>199</v>
      </c>
      <c r="C6" s="7" t="s">
        <v>194</v>
      </c>
    </row>
    <row r="7" customFormat="false" ht="15" hidden="false" customHeight="false" outlineLevel="0" collapsed="false">
      <c r="A7" s="5" t="s">
        <v>197</v>
      </c>
      <c r="B7" s="5" t="s">
        <v>200</v>
      </c>
      <c r="C7" s="7" t="s">
        <v>194</v>
      </c>
    </row>
    <row r="8" customFormat="false" ht="15" hidden="false" customHeight="false" outlineLevel="0" collapsed="false">
      <c r="A8" s="5" t="s">
        <v>201</v>
      </c>
      <c r="B8" s="5" t="s">
        <v>202</v>
      </c>
      <c r="C8" s="7" t="s">
        <v>194</v>
      </c>
    </row>
    <row r="9" customFormat="false" ht="15" hidden="false" customHeight="false" outlineLevel="0" collapsed="false">
      <c r="A9" s="5" t="s">
        <v>201</v>
      </c>
      <c r="B9" s="5" t="s">
        <v>203</v>
      </c>
      <c r="C9" s="7" t="s">
        <v>194</v>
      </c>
    </row>
    <row r="10" customFormat="false" ht="15" hidden="false" customHeight="false" outlineLevel="0" collapsed="false">
      <c r="A10" s="5" t="s">
        <v>204</v>
      </c>
      <c r="B10" s="5" t="s">
        <v>205</v>
      </c>
      <c r="C10" s="7" t="s">
        <v>194</v>
      </c>
    </row>
    <row r="11" customFormat="false" ht="15" hidden="false" customHeight="false" outlineLevel="0" collapsed="false">
      <c r="A11" s="5" t="s">
        <v>204</v>
      </c>
      <c r="B11" s="5" t="s">
        <v>206</v>
      </c>
      <c r="C11" s="7" t="s">
        <v>194</v>
      </c>
    </row>
    <row r="12" customFormat="false" ht="15" hidden="false" customHeight="false" outlineLevel="0" collapsed="false">
      <c r="A12" s="5" t="s">
        <v>204</v>
      </c>
      <c r="B12" s="5" t="s">
        <v>207</v>
      </c>
      <c r="C12" s="7" t="s">
        <v>194</v>
      </c>
    </row>
    <row r="13" customFormat="false" ht="15" hidden="false" customHeight="false" outlineLevel="0" collapsed="false">
      <c r="A13" s="5" t="s">
        <v>208</v>
      </c>
      <c r="B13" s="5" t="s">
        <v>209</v>
      </c>
      <c r="C13" s="7" t="s">
        <v>194</v>
      </c>
    </row>
    <row r="14" customFormat="false" ht="15" hidden="false" customHeight="false" outlineLevel="0" collapsed="false">
      <c r="A14" s="5" t="s">
        <v>208</v>
      </c>
      <c r="B14" s="5" t="s">
        <v>210</v>
      </c>
      <c r="C14" s="7" t="s">
        <v>194</v>
      </c>
    </row>
    <row r="15" customFormat="false" ht="15" hidden="false" customHeight="false" outlineLevel="0" collapsed="false">
      <c r="A15" s="5" t="s">
        <v>208</v>
      </c>
      <c r="B15" s="5" t="s">
        <v>211</v>
      </c>
      <c r="C15" s="7"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 collapsed="false" customWidth="true" hidden="false" outlineLevel="0" max="3" min="3" style="0" width="10"/>
  </cols>
  <sheetData>
    <row r="1" customFormat="false" ht="15" hidden="false" customHeight="false" outlineLevel="0" collapsed="false">
      <c r="A1" s="4" t="s">
        <v>189</v>
      </c>
      <c r="B1" s="4" t="s">
        <v>190</v>
      </c>
      <c r="C1" s="4" t="s">
        <v>191</v>
      </c>
    </row>
    <row r="2" customFormat="false" ht="15" hidden="false" customHeight="false" outlineLevel="0" collapsed="false">
      <c r="A2" s="5" t="s">
        <v>212</v>
      </c>
      <c r="B2" s="5" t="s">
        <v>213</v>
      </c>
      <c r="C2" s="7" t="s">
        <v>194</v>
      </c>
    </row>
    <row r="3" customFormat="false" ht="15" hidden="false" customHeight="false" outlineLevel="0" collapsed="false">
      <c r="A3" s="5" t="s">
        <v>212</v>
      </c>
      <c r="B3" s="5" t="s">
        <v>214</v>
      </c>
      <c r="C3" s="7" t="s">
        <v>194</v>
      </c>
    </row>
    <row r="4" customFormat="false" ht="15" hidden="false" customHeight="false" outlineLevel="0" collapsed="false">
      <c r="A4" s="5" t="s">
        <v>212</v>
      </c>
      <c r="B4" s="5" t="s">
        <v>215</v>
      </c>
      <c r="C4" s="7" t="s">
        <v>194</v>
      </c>
    </row>
    <row r="5" customFormat="false" ht="15" hidden="false" customHeight="false" outlineLevel="0" collapsed="false">
      <c r="A5" s="5" t="s">
        <v>216</v>
      </c>
      <c r="B5" s="5" t="s">
        <v>217</v>
      </c>
      <c r="C5" s="7" t="s">
        <v>194</v>
      </c>
    </row>
    <row r="6" customFormat="false" ht="15" hidden="false" customHeight="false" outlineLevel="0" collapsed="false">
      <c r="A6" s="5" t="s">
        <v>216</v>
      </c>
      <c r="B6" s="5" t="s">
        <v>218</v>
      </c>
      <c r="C6" s="7" t="s">
        <v>194</v>
      </c>
    </row>
    <row r="7" customFormat="false" ht="15" hidden="false" customHeight="false" outlineLevel="0" collapsed="false">
      <c r="A7" s="5" t="s">
        <v>216</v>
      </c>
      <c r="B7" s="5" t="s">
        <v>219</v>
      </c>
      <c r="C7" s="7" t="s">
        <v>194</v>
      </c>
    </row>
    <row r="8" customFormat="false" ht="15" hidden="false" customHeight="false" outlineLevel="0" collapsed="false">
      <c r="A8" s="5" t="s">
        <v>220</v>
      </c>
      <c r="B8" s="5" t="s">
        <v>221</v>
      </c>
      <c r="C8" s="7" t="s">
        <v>194</v>
      </c>
    </row>
    <row r="9" customFormat="false" ht="15" hidden="false" customHeight="false" outlineLevel="0" collapsed="false">
      <c r="A9" s="5" t="s">
        <v>220</v>
      </c>
      <c r="B9" s="5" t="s">
        <v>222</v>
      </c>
      <c r="C9" s="7" t="s">
        <v>194</v>
      </c>
    </row>
    <row r="10" customFormat="false" ht="15" hidden="false" customHeight="false" outlineLevel="0" collapsed="false">
      <c r="A10" s="5" t="s">
        <v>220</v>
      </c>
      <c r="B10" s="5" t="s">
        <v>223</v>
      </c>
      <c r="C10" s="7" t="s">
        <v>194</v>
      </c>
    </row>
    <row r="11" customFormat="false" ht="15" hidden="false" customHeight="false" outlineLevel="0" collapsed="false">
      <c r="A11" s="5" t="s">
        <v>220</v>
      </c>
      <c r="B11" s="5" t="s">
        <v>224</v>
      </c>
      <c r="C11" s="7" t="s">
        <v>194</v>
      </c>
    </row>
    <row r="12" customFormat="false" ht="15" hidden="false" customHeight="false" outlineLevel="0" collapsed="false">
      <c r="A12" s="5" t="s">
        <v>225</v>
      </c>
      <c r="B12" s="5" t="s">
        <v>226</v>
      </c>
      <c r="C12" s="7" t="s">
        <v>194</v>
      </c>
    </row>
    <row r="13" customFormat="false" ht="15" hidden="false" customHeight="false" outlineLevel="0" collapsed="false">
      <c r="A13" s="5" t="s">
        <v>225</v>
      </c>
      <c r="B13" s="5" t="s">
        <v>227</v>
      </c>
      <c r="C13" s="7" t="s">
        <v>194</v>
      </c>
    </row>
    <row r="14" customFormat="false" ht="15" hidden="false" customHeight="false" outlineLevel="0" collapsed="false">
      <c r="A14" s="5" t="s">
        <v>225</v>
      </c>
      <c r="B14" s="5" t="s">
        <v>228</v>
      </c>
      <c r="C14" s="7" t="s">
        <v>194</v>
      </c>
    </row>
    <row r="15" customFormat="false" ht="15" hidden="false" customHeight="false" outlineLevel="0" collapsed="false">
      <c r="A15" s="5" t="s">
        <v>225</v>
      </c>
      <c r="B15" s="5" t="s">
        <v>229</v>
      </c>
      <c r="C15" s="7" t="s">
        <v>194</v>
      </c>
    </row>
    <row r="16" customFormat="false" ht="15" hidden="false" customHeight="false" outlineLevel="0" collapsed="false">
      <c r="A16" s="5" t="s">
        <v>230</v>
      </c>
      <c r="B16" s="5" t="s">
        <v>231</v>
      </c>
      <c r="C16" s="7" t="s">
        <v>194</v>
      </c>
    </row>
    <row r="17" customFormat="false" ht="15" hidden="false" customHeight="false" outlineLevel="0" collapsed="false">
      <c r="A17" s="5" t="s">
        <v>230</v>
      </c>
      <c r="B17" s="5" t="s">
        <v>232</v>
      </c>
      <c r="C17" s="7" t="s">
        <v>194</v>
      </c>
    </row>
    <row r="18" customFormat="false" ht="15" hidden="false" customHeight="false" outlineLevel="0" collapsed="false">
      <c r="A18" s="5" t="s">
        <v>230</v>
      </c>
      <c r="B18" s="5" t="s">
        <v>233</v>
      </c>
      <c r="C18" s="7" t="s">
        <v>194</v>
      </c>
    </row>
    <row r="19" customFormat="false" ht="15" hidden="false" customHeight="false" outlineLevel="0" collapsed="false">
      <c r="A19" s="5" t="s">
        <v>230</v>
      </c>
      <c r="B19" s="5" t="s">
        <v>234</v>
      </c>
      <c r="C19" s="7" t="s">
        <v>194</v>
      </c>
    </row>
    <row r="20" customFormat="false" ht="15" hidden="false" customHeight="false" outlineLevel="0" collapsed="false">
      <c r="A20" s="5" t="s">
        <v>235</v>
      </c>
      <c r="B20" s="5" t="s">
        <v>236</v>
      </c>
      <c r="C20" s="7" t="s">
        <v>194</v>
      </c>
    </row>
    <row r="21" customFormat="false" ht="15" hidden="false" customHeight="false" outlineLevel="0" collapsed="false">
      <c r="A21" s="5" t="s">
        <v>235</v>
      </c>
      <c r="B21" s="5" t="s">
        <v>237</v>
      </c>
      <c r="C21" s="7" t="s">
        <v>194</v>
      </c>
    </row>
    <row r="22" customFormat="false" ht="15" hidden="false" customHeight="false" outlineLevel="0" collapsed="false">
      <c r="A22" s="5" t="s">
        <v>235</v>
      </c>
      <c r="B22" s="5" t="s">
        <v>238</v>
      </c>
      <c r="C22" s="7"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2026-10-21T18:37:13Z</dcterms:created>
  <dc:creator>openpyxl</dc:creator>
  <dc:description/>
  <dc:language>en-US</dc:language>
  <cp:lastModifiedBy/>
  <dcterms:modified xsi:type="dcterms:W3CDTF">2026-10-21T18:37:13Z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