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-Week Roadmap" sheetId="1" state="visible" r:id="rId3"/>
    <sheet name="Sprint Goals" sheetId="2" state="visible" r:id="rId4"/>
    <sheet name="Risk Matrix" sheetId="3" state="visible" r:id="rId5"/>
    <sheet name="Heat Map" sheetId="4" state="visible" r:id="rId6"/>
  </sheets>
  <definedNames>
    <definedName function="false" hidden="true" localSheetId="2" name="_xlnm._FilterDatabase" vbProcedure="false">'Risk Matrix'!$A$4:$M$22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<sst xmlns="http://schemas.openxmlformats.org/spreadsheetml/2006/main" count="350" uniqueCount="265">
  <si>
    <t xml:space="preserve">Cloud-Menu: 8-Week Agile Implementation Roadmap</t>
  </si>
  <si>
    <t xml:space="preserve">Kickoff date (Monday of Week 1):</t>
  </si>
  <si>
    <t xml:space="preserve">INPUT (assumed date, change to the real kickoff). Start/End dates below recalculate. Check festive-season (December) trading peaks when fixing go-live.</t>
  </si>
  <si>
    <t xml:space="preserve">Sprint</t>
  </si>
  <si>
    <t xml:space="preserve">Start wk</t>
  </si>
  <si>
    <t xml:space="preserve">End wk</t>
  </si>
  <si>
    <t xml:space="preserve">Start (Mon)</t>
  </si>
  <si>
    <t xml:space="preserve">End (Fri)</t>
  </si>
  <si>
    <t xml:space="preserve">Workstream</t>
  </si>
  <si>
    <t xml:space="preserve">Deliverable / milestone</t>
  </si>
  <si>
    <t xml:space="preserve">Stories</t>
  </si>
  <si>
    <t xml:space="preserve">Owner role</t>
  </si>
  <si>
    <t xml:space="preserve">Exit criterion</t>
  </si>
  <si>
    <t xml:space="preserve">Setup</t>
  </si>
  <si>
    <t xml:space="preserve">Product</t>
  </si>
  <si>
    <t xml:space="preserve">Aggregator shortlist and sandbox access requested; venue interviews (5-8 per persona); counts of candidate venues</t>
  </si>
  <si>
    <t xml:space="preserve">-</t>
  </si>
  <si>
    <t xml:space="preserve">Founder / PO</t>
  </si>
  <si>
    <t xml:space="preserve">Aggregator chosen; interview insights fed into backlog</t>
  </si>
  <si>
    <t xml:space="preserve">Engineering</t>
  </si>
  <si>
    <t xml:space="preserve">Repo and monorepo, CI/CD with Lighthouse budget, Terraform base, staging environment, observability skeleton</t>
  </si>
  <si>
    <t xml:space="preserve">Tech Lead</t>
  </si>
  <si>
    <t xml:space="preserve">Hello-world deploys to staging through CI</t>
  </si>
  <si>
    <t xml:space="preserve">Design</t>
  </si>
  <si>
    <t xml:space="preserve">Mobile-first design system, wireframes for Screens A-C, EN/SW copy deck</t>
  </si>
  <si>
    <t xml:space="preserve">Designer</t>
  </si>
  <si>
    <t xml:space="preserve">Design review signed by PO</t>
  </si>
  <si>
    <t xml:space="preserve">S1</t>
  </si>
  <si>
    <t xml:space="preserve">Platform</t>
  </si>
  <si>
    <t xml:space="preserve">DB schema migrations, staff auth with roles, venue/table models, QR generation and signed tokens</t>
  </si>
  <si>
    <t xml:space="preserve">US-506, US-602</t>
  </si>
  <si>
    <t xml:space="preserve">Backend</t>
  </si>
  <si>
    <t xml:space="preserve">QR PDF printed and scanned on 3 device types</t>
  </si>
  <si>
    <t xml:space="preserve">Guest app</t>
  </si>
  <si>
    <t xml:space="preserve">Session init and participants, menu browse, modifiers, cart, order submit (idempotent)</t>
  </si>
  <si>
    <t xml:space="preserve">US-101, US-102, US-201, US-202, US-203, US-204</t>
  </si>
  <si>
    <t xml:space="preserve">Full-stack</t>
  </si>
  <si>
    <t xml:space="preserve">Scan QR, order, order stored (staging)</t>
  </si>
  <si>
    <t xml:space="preserve">Venue admin</t>
  </si>
  <si>
    <t xml:space="preserve">Menu CRUD with image optimisation and CSV import</t>
  </si>
  <si>
    <t xml:space="preserve">US-601</t>
  </si>
  <si>
    <t xml:space="preserve">Pilot menu loaded in under 1 hour</t>
  </si>
  <si>
    <t xml:space="preserve">Performance</t>
  </si>
  <si>
    <t xml:space="preserve">PWA shell, service worker, bundle budget enforced in CI</t>
  </si>
  <si>
    <t xml:space="preserve">US-701</t>
  </si>
  <si>
    <t xml:space="preserve">Front-end</t>
  </si>
  <si>
    <t xml:space="preserve">LCP at most 4.0 s on Fast 3G profile</t>
  </si>
  <si>
    <t xml:space="preserve">Milestone</t>
  </si>
  <si>
    <t xml:space="preserve">M1: Ordering core demoable in staging</t>
  </si>
  <si>
    <t xml:space="preserve">Team</t>
  </si>
  <si>
    <t xml:space="preserve">Sprint 1 review: ticket data visible via API</t>
  </si>
  <si>
    <t xml:space="preserve">S2</t>
  </si>
  <si>
    <t xml:space="preserve">Staff app</t>
  </si>
  <si>
    <t xml:space="preserve">KDS ticket queue and state changes, waiter dashboard (tables, balances), real-time channels (SSE and WebSocket)</t>
  </si>
  <si>
    <t xml:space="preserve">US-501, US-502, US-504</t>
  </si>
  <si>
    <t xml:space="preserve">Order-to-ticket p95 at most 2 s in staging</t>
  </si>
  <si>
    <t xml:space="preserve">Billing</t>
  </si>
  <si>
    <t xml:space="preserve">Bill view, equal split, itemized split with claims, split lock with expiry and concurrency control</t>
  </si>
  <si>
    <t xml:space="preserve">US-301, US-302, US-303, US-305</t>
  </si>
  <si>
    <t xml:space="preserve">Backend + Front-end</t>
  </si>
  <si>
    <t xml:space="preserve">All Gherkin split scenarios automated and green</t>
  </si>
  <si>
    <t xml:space="preserve">Payments</t>
  </si>
  <si>
    <t xml:space="preserve">Aggregator integration in sandbox: push initiation, idempotency, payment states</t>
  </si>
  <si>
    <t xml:space="preserve">US-401</t>
  </si>
  <si>
    <t xml:space="preserve">Sandbox payment succeeds for each wallet</t>
  </si>
  <si>
    <t xml:space="preserve">M2: Split and pay in sandbox, end to end</t>
  </si>
  <si>
    <t xml:space="preserve">Demo: 3 guests split and pay in sandbox, ticket on KDS</t>
  </si>
  <si>
    <t xml:space="preserve">S3</t>
  </si>
  <si>
    <t xml:space="preserve">Webhooks (signature, dedupe, async processing), failure and retry flows, reconciliation job, late-success handling</t>
  </si>
  <si>
    <t xml:space="preserve">US-402, US-403, US-404, US-407</t>
  </si>
  <si>
    <t xml:space="preserve">Chaos test: dropped/duplicated callbacks reconcile correctly</t>
  </si>
  <si>
    <t xml:space="preserve">Order status tracking, sold-out sync, digital receipts</t>
  </si>
  <si>
    <t xml:space="preserve">US-205, US-206, US-405</t>
  </si>
  <si>
    <t xml:space="preserve">Receipt generated for every successful payment</t>
  </si>
  <si>
    <t xml:space="preserve">Resilience</t>
  </si>
  <si>
    <t xml:space="preserve">Reconnect and resync, offline banners, polling fallback; rate limiting and security hardening; metrics and alerts</t>
  </si>
  <si>
    <t xml:space="preserve">US-505, US-702, US-703</t>
  </si>
  <si>
    <t xml:space="preserve">Network-drop test passes; alerts fire in drill</t>
  </si>
  <si>
    <t xml:space="preserve">Quality</t>
  </si>
  <si>
    <t xml:space="preserve">Load test (target 9,000 connections), live-money test with small amounts, pen-test checklist, device matrix pass</t>
  </si>
  <si>
    <t xml:space="preserve">QA</t>
  </si>
  <si>
    <t xml:space="preserve">No open critical/high defects</t>
  </si>
  <si>
    <t xml:space="preserve">M3: Pilot readiness review (go/no-go for beta)</t>
  </si>
  <si>
    <t xml:space="preserve">Founder + Tech Lead</t>
  </si>
  <si>
    <t xml:space="preserve">Readiness checklist complete</t>
  </si>
  <si>
    <t xml:space="preserve">S4</t>
  </si>
  <si>
    <t xml:space="preserve">Operations</t>
  </si>
  <si>
    <t xml:space="preserve">Session lifecycle, cash payment recording, station routing, call waiter, tipping</t>
  </si>
  <si>
    <t xml:space="preserve">US-103, US-104, US-406, US-503, US-207, US-306</t>
  </si>
  <si>
    <t xml:space="preserve">Waiter can resolve unpaid-share cases without engineering</t>
  </si>
  <si>
    <t xml:space="preserve">Daily sales summary and export, venue sign-up and subscription, shared items</t>
  </si>
  <si>
    <t xml:space="preserve">US-603, US-604, US-304</t>
  </si>
  <si>
    <t xml:space="preserve">Manager reconciles a day in under 10 minutes</t>
  </si>
  <si>
    <t xml:space="preserve">Launch</t>
  </si>
  <si>
    <t xml:space="preserve">Pilot onboarding playbook, venue training (30 min), QR sticker installation, support rota for first weekends, feedback loop</t>
  </si>
  <si>
    <t xml:space="preserve">Founder / Support</t>
  </si>
  <si>
    <t xml:space="preserve">First 5-10 pilot venues live</t>
  </si>
  <si>
    <t xml:space="preserve">M4: MVP beta launch</t>
  </si>
  <si>
    <t xml:space="preserve">Pilot KPIs dashboard live; hypercare started</t>
  </si>
  <si>
    <t xml:space="preserve">Notes</t>
  </si>
  <si>
    <t xml:space="preserve">- Week 0 is pre-sprint setup (about one week before Week 1); Start date for week 0 falls one week before kickoff.</t>
  </si>
  <si>
    <t xml:space="preserve">- Sprint cadence: planning (Mon), daily stand-up, mid-sprint refinement, review and retro (Fri of week 2). Definition of Ready/Done in 02_Product_Backlog.xlsx.</t>
  </si>
  <si>
    <t xml:space="preserve">- Scope flex: S4 holds Should/Could stories; cut them first if S1-S3 slip. Must-have path is complete at the end of S3.</t>
  </si>
  <si>
    <t xml:space="preserve">- Story IDs refer to the Backlog sheet in 02_Product_Backlog.xlsx.</t>
  </si>
  <si>
    <t xml:space="preserve">Weeks</t>
  </si>
  <si>
    <t xml:space="preserve">Sprint goal</t>
  </si>
  <si>
    <t xml:space="preserve">Demo at review</t>
  </si>
  <si>
    <t xml:space="preserve">Key risks to watch</t>
  </si>
  <si>
    <t xml:space="preserve">1-2</t>
  </si>
  <si>
    <t xml:space="preserve">A guest can scan a table QR, browse a fast menu, customise and submit an order that is stored and visible via API.</t>
  </si>
  <si>
    <t xml:space="preserve">Live scan on a mid-range phone over 4G; order appears in the database/API; QR sticker sheet printed.</t>
  </si>
  <si>
    <t xml:space="preserve">R03 performance on weak networks; R16 team capacity</t>
  </si>
  <si>
    <t xml:space="preserve">3-4</t>
  </si>
  <si>
    <t xml:space="preserve">Staff see tickets in real time, guests can split the bill and start a sandbox mobile money payment.</t>
  </si>
  <si>
    <t xml:space="preserve">Three phones: order, KDS ticket, split, sandbox payment.</t>
  </si>
  <si>
    <t xml:space="preserve">R01 callbacks; R02 aggregator sandbox quality; R08 split concurrency</t>
  </si>
  <si>
    <t xml:space="preserve">5-6</t>
  </si>
  <si>
    <t xml:space="preserve">Payments are production-grade (webhooks, retries, reconciliation) and the system survives network drops.</t>
  </si>
  <si>
    <t xml:space="preserve">Fault-injection demo: kill callbacks, drop Wi-Fi, replay events; live small-amount payments.</t>
  </si>
  <si>
    <t xml:space="preserve">R01, R04, R10 duplicate payments</t>
  </si>
  <si>
    <t xml:space="preserve">7-8</t>
  </si>
  <si>
    <t xml:space="preserve">Pilot venues are live with training, support and reporting; beta feedback loop running.</t>
  </si>
  <si>
    <t xml:space="preserve">First real venue service; KPI dashboard.</t>
  </si>
  <si>
    <t xml:space="preserve">R06 adoption; R12 support load; R15 festive-season timing</t>
  </si>
  <si>
    <t xml:space="preserve">Risk Assessment &amp; Mitigation Matrix</t>
  </si>
  <si>
    <t xml:space="preserve">Probability and Impact are 1-5 (blue cells are editable inputs). Score = P x I. Rating: Critical &gt;= 15, High 10-14, Medium 5-9, Low &lt; 5.</t>
  </si>
  <si>
    <t xml:space="preserve">ID</t>
  </si>
  <si>
    <t xml:space="preserve">Category</t>
  </si>
  <si>
    <t xml:space="preserve">Risk</t>
  </si>
  <si>
    <t xml:space="preserve">Cause / trigger</t>
  </si>
  <si>
    <t xml:space="preserve">P (1-5)</t>
  </si>
  <si>
    <t xml:space="preserve">I (1-5)</t>
  </si>
  <si>
    <t xml:space="preserve">Score</t>
  </si>
  <si>
    <t xml:space="preserve">Rating</t>
  </si>
  <si>
    <t xml:space="preserve">Mitigation (preventive)</t>
  </si>
  <si>
    <t xml:space="preserve">Contingency (if it happens)</t>
  </si>
  <si>
    <t xml:space="preserve">Owner</t>
  </si>
  <si>
    <t xml:space="preserve">Early-warning indicator</t>
  </si>
  <si>
    <t xml:space="preserve">Status</t>
  </si>
  <si>
    <t xml:space="preserve">R01</t>
  </si>
  <si>
    <t xml:space="preserve">Technical</t>
  </si>
  <si>
    <t xml:space="preserve">Failed or delayed payment callbacks leave paid shares showing unpaid</t>
  </si>
  <si>
    <t xml:space="preserve">Aggregator outage, network failure, our endpoint down, bad signature handling</t>
  </si>
  <si>
    <t xml:space="preserve">Persist raw webhook before processing; respond 200 fast; async worker; reconciliation polling for PENDING &gt; 3 min; idempotent transitions; alert on pending age &gt; 10 min; synthetic callback tests in staging.</t>
  </si>
  <si>
    <t xml:space="preserve">Waiter dashboard shows "verify payment" with provider reference lookup; manual mark-paid with audit log; daily reconciliation report.</t>
  </si>
  <si>
    <t xml:space="preserve">Pending payments older than 5 min; webhook lag p95</t>
  </si>
  <si>
    <t xml:space="preserve">Open</t>
  </si>
  <si>
    <t xml:space="preserve">R02</t>
  </si>
  <si>
    <t xml:space="preserve">Mobile money push prompts not delivered or aggregator downtime</t>
  </si>
  <si>
    <t xml:space="preserve">Provider USSD/STK issues, aggregator maintenance, network congestion on peak nights</t>
  </si>
  <si>
    <t xml:space="preserve">Contract SLA and status page; retry with backoff and resend-prompt button; alternate provider path in architecture (adapter interface); health probes and alerting.</t>
  </si>
  <si>
    <t xml:space="preserve">Offer cash recorded by waiter; announce degraded mode on staff screens; switch to backup aggregator if contracted.</t>
  </si>
  <si>
    <t xml:space="preserve">Tech Lead / Founder</t>
  </si>
  <si>
    <t xml:space="preserve">Initiation failure rate above 5% in 10 min</t>
  </si>
  <si>
    <t xml:space="preserve">R03</t>
  </si>
  <si>
    <t xml:space="preserve">Slow loads and timeouts on 3G/4G and mid-range phones lead to abandonment</t>
  </si>
  <si>
    <t xml:space="preserve">Heavy bundles, large images, high latency to hosting region, congested venue networks</t>
  </si>
  <si>
    <t xml:space="preserve">Performance budget in CI (JS &lt;= 150 KB gz, LCP targets); image variants via CDN; service worker caching; region latency test in Week 1; skeleton screens; menu cache with ETag.</t>
  </si>
  <si>
    <t xml:space="preserve">Lite mode (text-only menu); move hosting region or add CDN rules; hotfix bundle regressions.</t>
  </si>
  <si>
    <t xml:space="preserve">Front-end Lead</t>
  </si>
  <si>
    <t xml:space="preserve">RUM LCP p75 above budget; scan-to-menu failures</t>
  </si>
  <si>
    <t xml:space="preserve">R04</t>
  </si>
  <si>
    <t xml:space="preserve">Operational</t>
  </si>
  <si>
    <t xml:space="preserve">Venue Wi-Fi drops make KDS/waiter views stale (offline kitchen state)</t>
  </si>
  <si>
    <t xml:space="preserve">Weak routers, shared Wi-Fi, power cuts</t>
  </si>
  <si>
    <t xml:space="preserve">Auto-reconnect with seq resync; offline banner; polling fallback; staff devices can use mobile data hotspot; recommend dedicated router in onboarding checklist; optional printed ticket fallback (post-MVP).</t>
  </si>
  <si>
    <t xml:space="preserve">Revert to verbal/paper ordering for the affected shift; staff manually refresh; support call-out.</t>
  </si>
  <si>
    <t xml:space="preserve">Support Lead</t>
  </si>
  <si>
    <t xml:space="preserve">Staff-device disconnect rate; reconnect time p95</t>
  </si>
  <si>
    <t xml:space="preserve">R05</t>
  </si>
  <si>
    <t xml:space="preserve">Business</t>
  </si>
  <si>
    <t xml:space="preserve">Regulatory and tax obligations (fiscal receipts, personal data, payment licensing) block launch or add scope</t>
  </si>
  <si>
    <t xml:space="preserve">Venues must issue fiscal receipts; platform may be seen as handling funds; data protection law</t>
  </si>
  <si>
    <t xml:space="preserve">Early advice from a local tax/legal adviser (Week 1); use licensed aggregator with direct settlement to venues; privacy notice and minimal data; clarify EFD/VFD handling and integrate or instruct venues.</t>
  </si>
  <si>
    <t xml:space="preserve">Limit pilot to compliant venues; add fiscal integration as a priority story; delay launch rather than operate non-compliant.</t>
  </si>
  <si>
    <t xml:space="preserve">Founder</t>
  </si>
  <si>
    <t xml:space="preserve">Adviser feedback; venue questions on receipts</t>
  </si>
  <si>
    <t xml:space="preserve">R06</t>
  </si>
  <si>
    <t xml:space="preserve">Low venue adoption or staff resistance</t>
  </si>
  <si>
    <t xml:space="preserve">Perceived complexity, fear of losing tips, owner distrust of new tools</t>
  </si>
  <si>
    <t xml:space="preserve">Co-design with pilot venues; show tip protection (guest can add tip); 30-minute training; waiter-first features; visible owner dashboard; free pilot period with success criteria.</t>
  </si>
  <si>
    <t xml:space="preserve">Adjust workflow after feedback; on-site support for first 2 weekends; switch to higher-fit venues.</t>
  </si>
  <si>
    <t xml:space="preserve">QR order share below 30% in week 2</t>
  </si>
  <si>
    <t xml:space="preserve">R07</t>
  </si>
  <si>
    <t xml:space="preserve">Real-time layer degrades under peak load (Friday/Saturday nights)</t>
  </si>
  <si>
    <t xml:space="preserve">Too many connections per node, Redis saturation, slow database queries</t>
  </si>
  <si>
    <t xml:space="preserve">Load test before beta (9,000 connections); horizontal scaling; connection limits; efficient event payloads; DB indexes; autoscaling alarms.</t>
  </si>
  <si>
    <t xml:space="preserve">Fallback to polling; scale out nodes; shed non-critical events.</t>
  </si>
  <si>
    <t xml:space="preserve">Event delivery p95 above 2 s; CPU &gt; 70%</t>
  </si>
  <si>
    <t xml:space="preserve">R08</t>
  </si>
  <si>
    <t xml:space="preserve">Split race conditions create wrong shares or double claims</t>
  </si>
  <si>
    <t xml:space="preserve">Concurrent edits by guests; late orders while splitting</t>
  </si>
  <si>
    <t xml:space="preserve">Row lock on split; bill_version check; unique constraints; deterministic rounding; extensive Gherkin-based automated tests; property-based tests for rounding.</t>
  </si>
  <si>
    <t xml:space="preserve">Waiter can void/reopen split; refund process for overpayment; audit log.</t>
  </si>
  <si>
    <t xml:space="preserve">Backend Lead</t>
  </si>
  <si>
    <t xml:space="preserve">Split recalculation conflicts (409) rate</t>
  </si>
  <si>
    <t xml:space="preserve">R09</t>
  </si>
  <si>
    <t xml:space="preserve">Fake or prank orders from people not at the table</t>
  </si>
  <si>
    <t xml:space="preserve">Photographed or shared QR codes; no seat verification</t>
  </si>
  <si>
    <t xml:space="preserve">Signed, rotatable QR; rate limits; waiter confirmation mode for new sessions at risk venues; unusual-order flags; table-level geofencing is NOT relied on (GPS unreliable indoors).</t>
  </si>
  <si>
    <t xml:space="preserve">Waiter cancels order; rotate QR; block session.</t>
  </si>
  <si>
    <t xml:space="preserve">Product Owner</t>
  </si>
  <si>
    <t xml:space="preserve">Cancelled-by-waiter rate</t>
  </si>
  <si>
    <t xml:space="preserve">R10</t>
  </si>
  <si>
    <t xml:space="preserve">Duplicate or wrong payments (double tap, retries, wrong phone number)</t>
  </si>
  <si>
    <t xml:space="preserve">Network retries, guest enters someone else’s number</t>
  </si>
  <si>
    <t xml:space="preserve">Idempotency keys; one in-flight attempt per share (unique index); clear phone confirmation; amount shown on prompt; refund workflow documented with aggregator.</t>
  </si>
  <si>
    <t xml:space="preserve">Manual refund via aggregator; flag needs_review; customer support script.</t>
  </si>
  <si>
    <t xml:space="preserve">Payments with needs_review flag</t>
  </si>
  <si>
    <t xml:space="preserve">R11</t>
  </si>
  <si>
    <t xml:space="preserve">Guests leave without paying (partial settlement)</t>
  </si>
  <si>
    <t xml:space="preserve">Group members leave; reluctance to pay</t>
  </si>
  <si>
    <t xml:space="preserve">Shares clearly visible to waiter; reminders; reassign unpaid share to others; cash fallback; encourage paying before leaving via prompts.</t>
  </si>
  <si>
    <t xml:space="preserve">Waiter records outstanding amount; venue policy applies.</t>
  </si>
  <si>
    <t xml:space="preserve">Unsettled tables at close</t>
  </si>
  <si>
    <t xml:space="preserve">R12</t>
  </si>
  <si>
    <t xml:space="preserve">Support overload on peak nights</t>
  </si>
  <si>
    <t xml:space="preserve">New venues, training gaps, issues arriving simultaneously</t>
  </si>
  <si>
    <t xml:space="preserve">Support rota for Fri/Sat; WhatsApp support line; in-app help; runbooks; staggered venue onboarding (max 3 per week).</t>
  </si>
  <si>
    <t xml:space="preserve">Pause new onboarding; escalate to engineering on-call.</t>
  </si>
  <si>
    <t xml:space="preserve">Open tickets older than 30 min on peak nights</t>
  </si>
  <si>
    <t xml:space="preserve">R13</t>
  </si>
  <si>
    <t xml:space="preserve">Aggregator fees or pricing model erode margin</t>
  </si>
  <si>
    <t xml:space="preserve">Transaction fees; low subscription price; free pilots</t>
  </si>
  <si>
    <t xml:space="preserve">Model unit economics in Sprint 0; negotiate volume pricing; consider small fee pass-through or tiered plans; track cost per order.</t>
  </si>
  <si>
    <t xml:space="preserve">Adjust pricing; renegotiate; change aggregator.</t>
  </si>
  <si>
    <t xml:space="preserve">Gross margin per venue below target</t>
  </si>
  <si>
    <t xml:space="preserve">R14</t>
  </si>
  <si>
    <t xml:space="preserve">Security breach or data leak (phone numbers, payment data)</t>
  </si>
  <si>
    <t xml:space="preserve">Weak access control, secrets leaks, dependency vulnerabilities</t>
  </si>
  <si>
    <t xml:space="preserve">Encrypt MSISDN; RBAC and venue scoping tests; secret manager; dependency scanning; pen-test checklist; audit log; least-privilege cloud roles.</t>
  </si>
  <si>
    <t xml:space="preserve">Incident response plan; notify affected parties as required; rotate keys.</t>
  </si>
  <si>
    <t xml:space="preserve">Security scan findings; anomalous access logs</t>
  </si>
  <si>
    <t xml:space="preserve">R15</t>
  </si>
  <si>
    <t xml:space="preserve">Go-live collides with festive-season peak or a poorly timed launch</t>
  </si>
  <si>
    <t xml:space="preserve">Late-year schedule pressure; venues too busy to train</t>
  </si>
  <si>
    <t xml:space="preserve">Fix go-live window with venue input; soft launch to 2-3 venues first; change freeze on peak nights; training before peak week.</t>
  </si>
  <si>
    <t xml:space="preserve">Delay beta by one to two weeks; run limited pilot on quieter days.</t>
  </si>
  <si>
    <t xml:space="preserve">Venue availability for training</t>
  </si>
  <si>
    <t xml:space="preserve">R16</t>
  </si>
  <si>
    <t xml:space="preserve">Small team capacity or key-person dependency</t>
  </si>
  <si>
    <t xml:space="preserve">Few engineers; illness; context concentrated in one person</t>
  </si>
  <si>
    <t xml:space="preserve">Documentation and runbooks; code reviews; pair on payments; keep scope flex (S4 as buffer); contractor option for peaks.</t>
  </si>
  <si>
    <t xml:space="preserve">Descope Should/Could items; add contractor.</t>
  </si>
  <si>
    <t xml:space="preserve">Velocity below 80% of plan for 2 sprints</t>
  </si>
  <si>
    <t xml:space="preserve">R17</t>
  </si>
  <si>
    <t xml:space="preserve">Pricing resistance from venue owners</t>
  </si>
  <si>
    <t xml:space="preserve">Perceived low value vs. existing methods</t>
  </si>
  <si>
    <t xml:space="preserve">Pilot with measured outcomes (turnover, errors); tiered plans; month-to-month contracts; share ROI report after 4 weeks.</t>
  </si>
  <si>
    <t xml:space="preserve">Adjust pricing or packaging; target higher-volume venues first.</t>
  </si>
  <si>
    <t xml:space="preserve">Trial-to-paid conversion below 40%</t>
  </si>
  <si>
    <t xml:space="preserve">R18</t>
  </si>
  <si>
    <t xml:space="preserve">Device and browser fragmentation breaks UI on older phones</t>
  </si>
  <si>
    <t xml:space="preserve">Old Android WebView, low memory devices</t>
  </si>
  <si>
    <t xml:space="preserve">Device matrix with low-end Android; progressive enhancement; avoid heavy libraries; Sentry on real devices.</t>
  </si>
  <si>
    <t xml:space="preserve">Hotfix and targeted polyfills; lite mode.</t>
  </si>
  <si>
    <t xml:space="preserve">Errors by browser/device in RUM</t>
  </si>
  <si>
    <t xml:space="preserve">Risk heat map: number of risks by Probability (rows) and Impact (columns)</t>
  </si>
  <si>
    <t xml:space="preserve">P \ I</t>
  </si>
  <si>
    <t xml:space="preserve">Totals by rating</t>
  </si>
  <si>
    <t xml:space="preserve">Critical</t>
  </si>
  <si>
    <t xml:space="preserve">High</t>
  </si>
  <si>
    <t xml:space="preserve">Medium</t>
  </si>
  <si>
    <t xml:space="preserve">Low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</si>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</sst>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DDEFF1"/>
        <bgColor rgb="FFCCFFFF"/>
      </patternFill>
    </fill>
    <fill>
      <patternFill patternType="solid">
        <fgColor rgb="FFF7DC6F"/>
        <bgColor rgb="FFFFFF99"/>
      </patternFill>
    </fill>
    <fill>
      <patternFill patternType="solid">
        <fgColor rgb="FFF39C12"/>
        <bgColor rgb="FFFFCC00"/>
      </patternFill>
    </fill>
    <fill>
      <patternFill patternType="solid">
        <fgColor rgb="FFC0392B"/>
        <bgColor rgb="FF993366"/>
      </patternFill>
    </fill>
    <fill>
      <patternFill patternType="solid">
        <fgColor rgb="FFA9D18E"/>
        <bgColor rgb="FFBFC7D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 patternType="solid">
          <fgColor rgb="FFF7DC6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7DC6F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FCC"/>
      <rgbColor rgb="FFDD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7DC6F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58"/>
    <col collapsed="false" customWidth="true" hidden="false" outlineLevel="0" max="9" min="8" style="0" width="18"/>
    <col collapsed="false" customWidth="true" hidden="false" outlineLevel="0" max="10" min="10" style="0" width="52"/>
  </cols>
  <sheetData>
    <row r="1" customFormat="false" ht="19.7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C2" s="3" t="n">
        <v>46328</v>
      </c>
      <c r="D2" s="4" t="s">
        <v>2</v>
      </c>
      <c r="E2" s="4"/>
      <c r="F2" s="4"/>
      <c r="G2" s="4"/>
      <c r="H2" s="4"/>
      <c r="I2" s="4"/>
      <c r="J2" s="4"/>
      <c r="K2" s="4"/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42" hidden="false" customHeight="true" outlineLevel="0" collapsed="false">
      <c r="A5" s="6" t="s">
        <v>13</v>
      </c>
      <c r="B5" s="6" t="n">
        <v>0</v>
      </c>
      <c r="C5" s="6" t="n">
        <v>0</v>
      </c>
      <c r="D5" s="7" t="n">
        <f aca="false">$C$2+(B5-1)*7</f>
        <v>46321</v>
      </c>
      <c r="E5" s="7" t="n">
        <f aca="false">$C$2+(C5-1)*7+4</f>
        <v>46325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</row>
    <row r="6" customFormat="false" ht="42" hidden="false" customHeight="true" outlineLevel="0" collapsed="false">
      <c r="A6" s="6" t="s">
        <v>13</v>
      </c>
      <c r="B6" s="6" t="n">
        <v>0</v>
      </c>
      <c r="C6" s="6" t="n">
        <v>0</v>
      </c>
      <c r="D6" s="7" t="n">
        <f aca="false">$C$2+(B6-1)*7</f>
        <v>46321</v>
      </c>
      <c r="E6" s="7" t="n">
        <f aca="false">$C$2+(C6-1)*7+4</f>
        <v>46325</v>
      </c>
      <c r="F6" s="8" t="s">
        <v>19</v>
      </c>
      <c r="G6" s="8" t="s">
        <v>20</v>
      </c>
      <c r="H6" s="8" t="s">
        <v>16</v>
      </c>
      <c r="I6" s="8" t="s">
        <v>21</v>
      </c>
      <c r="J6" s="8" t="s">
        <v>22</v>
      </c>
    </row>
    <row r="7" customFormat="false" ht="42" hidden="false" customHeight="true" outlineLevel="0" collapsed="false">
      <c r="A7" s="6" t="s">
        <v>13</v>
      </c>
      <c r="B7" s="6" t="n">
        <v>0</v>
      </c>
      <c r="C7" s="6" t="n">
        <v>0</v>
      </c>
      <c r="D7" s="7" t="n">
        <f aca="false">$C$2+(B7-1)*7</f>
        <v>46321</v>
      </c>
      <c r="E7" s="7" t="n">
        <f aca="false">$C$2+(C7-1)*7+4</f>
        <v>46325</v>
      </c>
      <c r="F7" s="8" t="s">
        <v>23</v>
      </c>
      <c r="G7" s="8" t="s">
        <v>24</v>
      </c>
      <c r="H7" s="8" t="s">
        <v>16</v>
      </c>
      <c r="I7" s="8" t="s">
        <v>25</v>
      </c>
      <c r="J7" s="8" t="s">
        <v>26</v>
      </c>
    </row>
    <row r="8" customFormat="false" ht="42" hidden="false" customHeight="true" outlineLevel="0" collapsed="false">
      <c r="A8" s="6" t="s">
        <v>27</v>
      </c>
      <c r="B8" s="6" t="n">
        <v>1</v>
      </c>
      <c r="C8" s="6" t="n">
        <v>2</v>
      </c>
      <c r="D8" s="7" t="n">
        <f aca="false">$C$2+(B8-1)*7</f>
        <v>46328</v>
      </c>
      <c r="E8" s="7" t="n">
        <f aca="false">$C$2+(C8-1)*7+4</f>
        <v>46339</v>
      </c>
      <c r="F8" s="8" t="s">
        <v>28</v>
      </c>
      <c r="G8" s="8" t="s">
        <v>29</v>
      </c>
      <c r="H8" s="8" t="s">
        <v>30</v>
      </c>
      <c r="I8" s="8" t="s">
        <v>31</v>
      </c>
      <c r="J8" s="8" t="s">
        <v>32</v>
      </c>
    </row>
    <row r="9" customFormat="false" ht="42" hidden="false" customHeight="true" outlineLevel="0" collapsed="false">
      <c r="A9" s="6" t="s">
        <v>27</v>
      </c>
      <c r="B9" s="6" t="n">
        <v>1</v>
      </c>
      <c r="C9" s="6" t="n">
        <v>2</v>
      </c>
      <c r="D9" s="7" t="n">
        <f aca="false">$C$2+(B9-1)*7</f>
        <v>46328</v>
      </c>
      <c r="E9" s="7" t="n">
        <f aca="false">$C$2+(C9-1)*7+4</f>
        <v>46339</v>
      </c>
      <c r="F9" s="8" t="s">
        <v>33</v>
      </c>
      <c r="G9" s="8" t="s">
        <v>34</v>
      </c>
      <c r="H9" s="8" t="s">
        <v>35</v>
      </c>
      <c r="I9" s="8" t="s">
        <v>36</v>
      </c>
      <c r="J9" s="8" t="s">
        <v>37</v>
      </c>
    </row>
    <row r="10" customFormat="false" ht="42" hidden="false" customHeight="true" outlineLevel="0" collapsed="false">
      <c r="A10" s="6" t="s">
        <v>27</v>
      </c>
      <c r="B10" s="6" t="n">
        <v>1</v>
      </c>
      <c r="C10" s="6" t="n">
        <v>2</v>
      </c>
      <c r="D10" s="7" t="n">
        <f aca="false">$C$2+(B10-1)*7</f>
        <v>46328</v>
      </c>
      <c r="E10" s="7" t="n">
        <f aca="false">$C$2+(C10-1)*7+4</f>
        <v>46339</v>
      </c>
      <c r="F10" s="8" t="s">
        <v>38</v>
      </c>
      <c r="G10" s="8" t="s">
        <v>39</v>
      </c>
      <c r="H10" s="8" t="s">
        <v>40</v>
      </c>
      <c r="I10" s="8" t="s">
        <v>36</v>
      </c>
      <c r="J10" s="8" t="s">
        <v>41</v>
      </c>
    </row>
    <row r="11" customFormat="false" ht="42" hidden="false" customHeight="true" outlineLevel="0" collapsed="false">
      <c r="A11" s="6" t="s">
        <v>27</v>
      </c>
      <c r="B11" s="6" t="n">
        <v>1</v>
      </c>
      <c r="C11" s="6" t="n">
        <v>2</v>
      </c>
      <c r="D11" s="7" t="n">
        <f aca="false">$C$2+(B11-1)*7</f>
        <v>46328</v>
      </c>
      <c r="E11" s="7" t="n">
        <f aca="false">$C$2+(C11-1)*7+4</f>
        <v>46339</v>
      </c>
      <c r="F11" s="8" t="s">
        <v>42</v>
      </c>
      <c r="G11" s="8" t="s">
        <v>43</v>
      </c>
      <c r="H11" s="8" t="s">
        <v>44</v>
      </c>
      <c r="I11" s="8" t="s">
        <v>45</v>
      </c>
      <c r="J11" s="8" t="s">
        <v>46</v>
      </c>
    </row>
    <row r="12" customFormat="false" ht="42" hidden="false" customHeight="true" outlineLevel="0" collapsed="false">
      <c r="A12" s="9" t="s">
        <v>27</v>
      </c>
      <c r="B12" s="9" t="n">
        <v>2</v>
      </c>
      <c r="C12" s="9" t="n">
        <v>2</v>
      </c>
      <c r="D12" s="10" t="n">
        <f aca="false">$C$2+(B12-1)*7</f>
        <v>46335</v>
      </c>
      <c r="E12" s="10" t="n">
        <f aca="false">$C$2+(C12-1)*7+4</f>
        <v>46339</v>
      </c>
      <c r="F12" s="11" t="s">
        <v>47</v>
      </c>
      <c r="G12" s="11" t="s">
        <v>48</v>
      </c>
      <c r="H12" s="11"/>
      <c r="I12" s="11" t="s">
        <v>49</v>
      </c>
      <c r="J12" s="11" t="s">
        <v>50</v>
      </c>
    </row>
    <row r="13" customFormat="false" ht="42" hidden="false" customHeight="true" outlineLevel="0" collapsed="false">
      <c r="A13" s="6" t="s">
        <v>51</v>
      </c>
      <c r="B13" s="6" t="n">
        <v>3</v>
      </c>
      <c r="C13" s="6" t="n">
        <v>4</v>
      </c>
      <c r="D13" s="7" t="n">
        <f aca="false">$C$2+(B13-1)*7</f>
        <v>46342</v>
      </c>
      <c r="E13" s="7" t="n">
        <f aca="false">$C$2+(C13-1)*7+4</f>
        <v>46353</v>
      </c>
      <c r="F13" s="8" t="s">
        <v>52</v>
      </c>
      <c r="G13" s="8" t="s">
        <v>53</v>
      </c>
      <c r="H13" s="8" t="s">
        <v>54</v>
      </c>
      <c r="I13" s="8" t="s">
        <v>36</v>
      </c>
      <c r="J13" s="8" t="s">
        <v>55</v>
      </c>
    </row>
    <row r="14" customFormat="false" ht="42" hidden="false" customHeight="true" outlineLevel="0" collapsed="false">
      <c r="A14" s="6" t="s">
        <v>51</v>
      </c>
      <c r="B14" s="6" t="n">
        <v>3</v>
      </c>
      <c r="C14" s="6" t="n">
        <v>4</v>
      </c>
      <c r="D14" s="7" t="n">
        <f aca="false">$C$2+(B14-1)*7</f>
        <v>46342</v>
      </c>
      <c r="E14" s="7" t="n">
        <f aca="false">$C$2+(C14-1)*7+4</f>
        <v>46353</v>
      </c>
      <c r="F14" s="8" t="s">
        <v>56</v>
      </c>
      <c r="G14" s="8" t="s">
        <v>57</v>
      </c>
      <c r="H14" s="8" t="s">
        <v>58</v>
      </c>
      <c r="I14" s="8" t="s">
        <v>59</v>
      </c>
      <c r="J14" s="8" t="s">
        <v>60</v>
      </c>
    </row>
    <row r="15" customFormat="false" ht="42" hidden="false" customHeight="true" outlineLevel="0" collapsed="false">
      <c r="A15" s="6" t="s">
        <v>51</v>
      </c>
      <c r="B15" s="6" t="n">
        <v>3</v>
      </c>
      <c r="C15" s="6" t="n">
        <v>4</v>
      </c>
      <c r="D15" s="7" t="n">
        <f aca="false">$C$2+(B15-1)*7</f>
        <v>46342</v>
      </c>
      <c r="E15" s="7" t="n">
        <f aca="false">$C$2+(C15-1)*7+4</f>
        <v>46353</v>
      </c>
      <c r="F15" s="8" t="s">
        <v>61</v>
      </c>
      <c r="G15" s="8" t="s">
        <v>62</v>
      </c>
      <c r="H15" s="8" t="s">
        <v>63</v>
      </c>
      <c r="I15" s="8" t="s">
        <v>31</v>
      </c>
      <c r="J15" s="8" t="s">
        <v>64</v>
      </c>
    </row>
    <row r="16" customFormat="false" ht="42" hidden="false" customHeight="true" outlineLevel="0" collapsed="false">
      <c r="A16" s="9" t="s">
        <v>51</v>
      </c>
      <c r="B16" s="9" t="n">
        <v>4</v>
      </c>
      <c r="C16" s="9" t="n">
        <v>4</v>
      </c>
      <c r="D16" s="10" t="n">
        <f aca="false">$C$2+(B16-1)*7</f>
        <v>46349</v>
      </c>
      <c r="E16" s="10" t="n">
        <f aca="false">$C$2+(C16-1)*7+4</f>
        <v>46353</v>
      </c>
      <c r="F16" s="11" t="s">
        <v>47</v>
      </c>
      <c r="G16" s="11" t="s">
        <v>65</v>
      </c>
      <c r="H16" s="11"/>
      <c r="I16" s="11" t="s">
        <v>49</v>
      </c>
      <c r="J16" s="11" t="s">
        <v>66</v>
      </c>
    </row>
    <row r="17" customFormat="false" ht="42" hidden="false" customHeight="true" outlineLevel="0" collapsed="false">
      <c r="A17" s="6" t="s">
        <v>67</v>
      </c>
      <c r="B17" s="6" t="n">
        <v>5</v>
      </c>
      <c r="C17" s="6" t="n">
        <v>6</v>
      </c>
      <c r="D17" s="7" t="n">
        <f aca="false">$C$2+(B17-1)*7</f>
        <v>46356</v>
      </c>
      <c r="E17" s="7" t="n">
        <f aca="false">$C$2+(C17-1)*7+4</f>
        <v>46367</v>
      </c>
      <c r="F17" s="8" t="s">
        <v>61</v>
      </c>
      <c r="G17" s="8" t="s">
        <v>68</v>
      </c>
      <c r="H17" s="8" t="s">
        <v>69</v>
      </c>
      <c r="I17" s="8" t="s">
        <v>31</v>
      </c>
      <c r="J17" s="8" t="s">
        <v>70</v>
      </c>
    </row>
    <row r="18" customFormat="false" ht="42" hidden="false" customHeight="true" outlineLevel="0" collapsed="false">
      <c r="A18" s="6" t="s">
        <v>67</v>
      </c>
      <c r="B18" s="6" t="n">
        <v>5</v>
      </c>
      <c r="C18" s="6" t="n">
        <v>6</v>
      </c>
      <c r="D18" s="7" t="n">
        <f aca="false">$C$2+(B18-1)*7</f>
        <v>46356</v>
      </c>
      <c r="E18" s="7" t="n">
        <f aca="false">$C$2+(C18-1)*7+4</f>
        <v>46367</v>
      </c>
      <c r="F18" s="8" t="s">
        <v>33</v>
      </c>
      <c r="G18" s="8" t="s">
        <v>71</v>
      </c>
      <c r="H18" s="8" t="s">
        <v>72</v>
      </c>
      <c r="I18" s="8" t="s">
        <v>36</v>
      </c>
      <c r="J18" s="8" t="s">
        <v>73</v>
      </c>
    </row>
    <row r="19" customFormat="false" ht="42" hidden="false" customHeight="true" outlineLevel="0" collapsed="false">
      <c r="A19" s="6" t="s">
        <v>67</v>
      </c>
      <c r="B19" s="6" t="n">
        <v>5</v>
      </c>
      <c r="C19" s="6" t="n">
        <v>6</v>
      </c>
      <c r="D19" s="7" t="n">
        <f aca="false">$C$2+(B19-1)*7</f>
        <v>46356</v>
      </c>
      <c r="E19" s="7" t="n">
        <f aca="false">$C$2+(C19-1)*7+4</f>
        <v>46367</v>
      </c>
      <c r="F19" s="8" t="s">
        <v>74</v>
      </c>
      <c r="G19" s="8" t="s">
        <v>75</v>
      </c>
      <c r="H19" s="8" t="s">
        <v>76</v>
      </c>
      <c r="I19" s="8" t="s">
        <v>21</v>
      </c>
      <c r="J19" s="8" t="s">
        <v>77</v>
      </c>
    </row>
    <row r="20" customFormat="false" ht="42" hidden="false" customHeight="true" outlineLevel="0" collapsed="false">
      <c r="A20" s="6" t="s">
        <v>67</v>
      </c>
      <c r="B20" s="6" t="n">
        <v>5</v>
      </c>
      <c r="C20" s="6" t="n">
        <v>6</v>
      </c>
      <c r="D20" s="7" t="n">
        <f aca="false">$C$2+(B20-1)*7</f>
        <v>46356</v>
      </c>
      <c r="E20" s="7" t="n">
        <f aca="false">$C$2+(C20-1)*7+4</f>
        <v>46367</v>
      </c>
      <c r="F20" s="8" t="s">
        <v>78</v>
      </c>
      <c r="G20" s="8" t="s">
        <v>79</v>
      </c>
      <c r="H20" s="8" t="s">
        <v>16</v>
      </c>
      <c r="I20" s="8" t="s">
        <v>80</v>
      </c>
      <c r="J20" s="8" t="s">
        <v>81</v>
      </c>
    </row>
    <row r="21" customFormat="false" ht="42" hidden="false" customHeight="true" outlineLevel="0" collapsed="false">
      <c r="A21" s="9" t="s">
        <v>67</v>
      </c>
      <c r="B21" s="9" t="n">
        <v>6</v>
      </c>
      <c r="C21" s="9" t="n">
        <v>6</v>
      </c>
      <c r="D21" s="10" t="n">
        <f aca="false">$C$2+(B21-1)*7</f>
        <v>46363</v>
      </c>
      <c r="E21" s="10" t="n">
        <f aca="false">$C$2+(C21-1)*7+4</f>
        <v>46367</v>
      </c>
      <c r="F21" s="11" t="s">
        <v>47</v>
      </c>
      <c r="G21" s="11" t="s">
        <v>82</v>
      </c>
      <c r="H21" s="11"/>
      <c r="I21" s="11" t="s">
        <v>83</v>
      </c>
      <c r="J21" s="11" t="s">
        <v>84</v>
      </c>
    </row>
    <row r="22" customFormat="false" ht="42" hidden="false" customHeight="true" outlineLevel="0" collapsed="false">
      <c r="A22" s="6" t="s">
        <v>85</v>
      </c>
      <c r="B22" s="6" t="n">
        <v>7</v>
      </c>
      <c r="C22" s="6" t="n">
        <v>8</v>
      </c>
      <c r="D22" s="7" t="n">
        <f aca="false">$C$2+(B22-1)*7</f>
        <v>46370</v>
      </c>
      <c r="E22" s="7" t="n">
        <f aca="false">$C$2+(C22-1)*7+4</f>
        <v>46381</v>
      </c>
      <c r="F22" s="8" t="s">
        <v>86</v>
      </c>
      <c r="G22" s="8" t="s">
        <v>87</v>
      </c>
      <c r="H22" s="8" t="s">
        <v>88</v>
      </c>
      <c r="I22" s="8" t="s">
        <v>36</v>
      </c>
      <c r="J22" s="8" t="s">
        <v>89</v>
      </c>
    </row>
    <row r="23" customFormat="false" ht="42" hidden="false" customHeight="true" outlineLevel="0" collapsed="false">
      <c r="A23" s="6" t="s">
        <v>85</v>
      </c>
      <c r="B23" s="6" t="n">
        <v>7</v>
      </c>
      <c r="C23" s="6" t="n">
        <v>8</v>
      </c>
      <c r="D23" s="7" t="n">
        <f aca="false">$C$2+(B23-1)*7</f>
        <v>46370</v>
      </c>
      <c r="E23" s="7" t="n">
        <f aca="false">$C$2+(C23-1)*7+4</f>
        <v>46381</v>
      </c>
      <c r="F23" s="8" t="s">
        <v>38</v>
      </c>
      <c r="G23" s="8" t="s">
        <v>90</v>
      </c>
      <c r="H23" s="8" t="s">
        <v>91</v>
      </c>
      <c r="I23" s="8" t="s">
        <v>36</v>
      </c>
      <c r="J23" s="8" t="s">
        <v>92</v>
      </c>
    </row>
    <row r="24" customFormat="false" ht="42" hidden="false" customHeight="true" outlineLevel="0" collapsed="false">
      <c r="A24" s="6" t="s">
        <v>85</v>
      </c>
      <c r="B24" s="6" t="n">
        <v>7</v>
      </c>
      <c r="C24" s="6" t="n">
        <v>8</v>
      </c>
      <c r="D24" s="7" t="n">
        <f aca="false">$C$2+(B24-1)*7</f>
        <v>46370</v>
      </c>
      <c r="E24" s="7" t="n">
        <f aca="false">$C$2+(C24-1)*7+4</f>
        <v>46381</v>
      </c>
      <c r="F24" s="8" t="s">
        <v>93</v>
      </c>
      <c r="G24" s="8" t="s">
        <v>94</v>
      </c>
      <c r="H24" s="8" t="s">
        <v>16</v>
      </c>
      <c r="I24" s="8" t="s">
        <v>95</v>
      </c>
      <c r="J24" s="8" t="s">
        <v>96</v>
      </c>
    </row>
    <row r="25" customFormat="false" ht="42" hidden="false" customHeight="true" outlineLevel="0" collapsed="false">
      <c r="A25" s="9" t="s">
        <v>85</v>
      </c>
      <c r="B25" s="9" t="n">
        <v>8</v>
      </c>
      <c r="C25" s="9" t="n">
        <v>8</v>
      </c>
      <c r="D25" s="10" t="n">
        <f aca="false">$C$2+(B25-1)*7</f>
        <v>46377</v>
      </c>
      <c r="E25" s="10" t="n">
        <f aca="false">$C$2+(C25-1)*7+4</f>
        <v>46381</v>
      </c>
      <c r="F25" s="11" t="s">
        <v>47</v>
      </c>
      <c r="G25" s="11" t="s">
        <v>97</v>
      </c>
      <c r="H25" s="11"/>
      <c r="I25" s="11" t="s">
        <v>49</v>
      </c>
      <c r="J25" s="11" t="s">
        <v>98</v>
      </c>
    </row>
    <row r="27" customFormat="false" ht="15" hidden="false" customHeight="false" outlineLevel="0" collapsed="false">
      <c r="A27" s="2" t="s">
        <v>99</v>
      </c>
    </row>
    <row r="28" customFormat="false" ht="15" hidden="false" customHeight="false" outlineLevel="0" collapsed="false">
      <c r="A28" s="12" t="s">
        <v>100</v>
      </c>
    </row>
    <row r="29" customFormat="false" ht="15" hidden="false" customHeight="false" outlineLevel="0" collapsed="false">
      <c r="A29" s="12" t="s">
        <v>101</v>
      </c>
    </row>
    <row r="30" customFormat="false" ht="15" hidden="false" customHeight="false" outlineLevel="0" collapsed="false">
      <c r="A30" s="12" t="s">
        <v>102</v>
      </c>
    </row>
    <row r="31" customFormat="false" ht="15" hidden="false" customHeight="false" outlineLevel="0" collapsed="false">
      <c r="A31" s="12" t="s">
        <v>103</v>
      </c>
    </row>
  </sheetData>
  <mergeCells count="1">
    <mergeCell ref="D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55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5" t="s">
        <v>3</v>
      </c>
      <c r="B1" s="5" t="s">
        <v>104</v>
      </c>
      <c r="C1" s="5" t="s">
        <v>105</v>
      </c>
      <c r="D1" s="5" t="s">
        <v>106</v>
      </c>
      <c r="E1" s="5" t="s">
        <v>107</v>
      </c>
    </row>
    <row r="2" customFormat="false" ht="54.75" hidden="false" customHeight="true" outlineLevel="0" collapsed="false">
      <c r="A2" s="6" t="s">
        <v>27</v>
      </c>
      <c r="B2" s="6" t="s">
        <v>108</v>
      </c>
      <c r="C2" s="8" t="s">
        <v>109</v>
      </c>
      <c r="D2" s="8" t="s">
        <v>110</v>
      </c>
      <c r="E2" s="8" t="s">
        <v>111</v>
      </c>
    </row>
    <row r="3" customFormat="false" ht="54.75" hidden="false" customHeight="true" outlineLevel="0" collapsed="false">
      <c r="A3" s="6" t="s">
        <v>51</v>
      </c>
      <c r="B3" s="6" t="s">
        <v>112</v>
      </c>
      <c r="C3" s="8" t="s">
        <v>113</v>
      </c>
      <c r="D3" s="8" t="s">
        <v>114</v>
      </c>
      <c r="E3" s="8" t="s">
        <v>115</v>
      </c>
    </row>
    <row r="4" customFormat="false" ht="54.75" hidden="false" customHeight="true" outlineLevel="0" collapsed="false">
      <c r="A4" s="6" t="s">
        <v>67</v>
      </c>
      <c r="B4" s="6" t="s">
        <v>116</v>
      </c>
      <c r="C4" s="8" t="s">
        <v>117</v>
      </c>
      <c r="D4" s="8" t="s">
        <v>118</v>
      </c>
      <c r="E4" s="8" t="s">
        <v>119</v>
      </c>
    </row>
    <row r="5" customFormat="false" ht="54.75" hidden="false" customHeight="true" outlineLevel="0" collapsed="false">
      <c r="A5" s="6" t="s">
        <v>85</v>
      </c>
      <c r="B5" s="6" t="s">
        <v>120</v>
      </c>
      <c r="C5" s="8" t="s">
        <v>121</v>
      </c>
      <c r="D5" s="8" t="s">
        <v>122</v>
      </c>
      <c r="E5" s="8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7" min="5" style="0" width="8"/>
    <col collapsed="false" customWidth="true" hidden="false" outlineLevel="0" max="8" min="8" style="0" width="10"/>
    <col collapsed="false" customWidth="true" hidden="false" outlineLevel="0" max="9" min="9" style="0" width="62"/>
    <col collapsed="false" customWidth="true" hidden="false" outlineLevel="0" max="10" min="10" style="0" width="44"/>
    <col collapsed="false" customWidth="true" hidden="false" outlineLevel="0" max="11" min="11" style="0" width="14"/>
    <col collapsed="false" customWidth="true" hidden="false" outlineLevel="0" max="12" min="12" style="0" width="34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13" t="s">
        <v>125</v>
      </c>
    </row>
    <row r="4" customFormat="false" ht="15" hidden="false" customHeight="false" outlineLevel="0" collapsed="false">
      <c r="A4" s="5" t="s">
        <v>126</v>
      </c>
      <c r="B4" s="5" t="s">
        <v>127</v>
      </c>
      <c r="C4" s="5" t="s">
        <v>128</v>
      </c>
      <c r="D4" s="5" t="s">
        <v>129</v>
      </c>
      <c r="E4" s="5" t="s">
        <v>130</v>
      </c>
      <c r="F4" s="5" t="s">
        <v>131</v>
      </c>
      <c r="G4" s="5" t="s">
        <v>132</v>
      </c>
      <c r="H4" s="5" t="s">
        <v>133</v>
      </c>
      <c r="I4" s="5" t="s">
        <v>134</v>
      </c>
      <c r="J4" s="5" t="s">
        <v>135</v>
      </c>
      <c r="K4" s="5" t="s">
        <v>136</v>
      </c>
      <c r="L4" s="5" t="s">
        <v>137</v>
      </c>
      <c r="M4" s="5" t="s">
        <v>138</v>
      </c>
    </row>
    <row r="5" customFormat="false" ht="91.5" hidden="false" customHeight="true" outlineLevel="0" collapsed="false">
      <c r="A5" s="6" t="s">
        <v>139</v>
      </c>
      <c r="B5" s="8" t="s">
        <v>140</v>
      </c>
      <c r="C5" s="8" t="s">
        <v>141</v>
      </c>
      <c r="D5" s="8" t="s">
        <v>142</v>
      </c>
      <c r="E5" s="14" t="n">
        <v>4</v>
      </c>
      <c r="F5" s="14" t="n">
        <v>5</v>
      </c>
      <c r="G5" s="15" t="n">
        <f aca="false">E5*F5</f>
        <v>20</v>
      </c>
      <c r="H5" s="16" t="str">
        <f aca="false">IF(G5&gt;=15,"Critical",IF(G5&gt;=10,"High",IF(G5&gt;=5,"Medium","Low")))</f>
        <v>Critical</v>
      </c>
      <c r="I5" s="8" t="s">
        <v>143</v>
      </c>
      <c r="J5" s="8" t="s">
        <v>144</v>
      </c>
      <c r="K5" s="8" t="s">
        <v>21</v>
      </c>
      <c r="L5" s="8" t="s">
        <v>145</v>
      </c>
      <c r="M5" s="6" t="s">
        <v>146</v>
      </c>
    </row>
    <row r="6" customFormat="false" ht="91.5" hidden="false" customHeight="true" outlineLevel="0" collapsed="false">
      <c r="A6" s="6" t="s">
        <v>147</v>
      </c>
      <c r="B6" s="8" t="s">
        <v>140</v>
      </c>
      <c r="C6" s="8" t="s">
        <v>148</v>
      </c>
      <c r="D6" s="8" t="s">
        <v>149</v>
      </c>
      <c r="E6" s="14" t="n">
        <v>3</v>
      </c>
      <c r="F6" s="14" t="n">
        <v>5</v>
      </c>
      <c r="G6" s="15" t="n">
        <f aca="false">E6*F6</f>
        <v>15</v>
      </c>
      <c r="H6" s="16" t="str">
        <f aca="false">IF(G6&gt;=15,"Critical",IF(G6&gt;=10,"High",IF(G6&gt;=5,"Medium","Low")))</f>
        <v>Critical</v>
      </c>
      <c r="I6" s="8" t="s">
        <v>150</v>
      </c>
      <c r="J6" s="8" t="s">
        <v>151</v>
      </c>
      <c r="K6" s="8" t="s">
        <v>152</v>
      </c>
      <c r="L6" s="8" t="s">
        <v>153</v>
      </c>
      <c r="M6" s="6" t="s">
        <v>146</v>
      </c>
    </row>
    <row r="7" customFormat="false" ht="91.5" hidden="false" customHeight="true" outlineLevel="0" collapsed="false">
      <c r="A7" s="6" t="s">
        <v>154</v>
      </c>
      <c r="B7" s="8" t="s">
        <v>140</v>
      </c>
      <c r="C7" s="8" t="s">
        <v>155</v>
      </c>
      <c r="D7" s="8" t="s">
        <v>156</v>
      </c>
      <c r="E7" s="14" t="n">
        <v>4</v>
      </c>
      <c r="F7" s="14" t="n">
        <v>4</v>
      </c>
      <c r="G7" s="15" t="n">
        <f aca="false">E7*F7</f>
        <v>16</v>
      </c>
      <c r="H7" s="16" t="str">
        <f aca="false">IF(G7&gt;=15,"Critical",IF(G7&gt;=10,"High",IF(G7&gt;=5,"Medium","Low")))</f>
        <v>Critical</v>
      </c>
      <c r="I7" s="8" t="s">
        <v>157</v>
      </c>
      <c r="J7" s="8" t="s">
        <v>158</v>
      </c>
      <c r="K7" s="8" t="s">
        <v>159</v>
      </c>
      <c r="L7" s="8" t="s">
        <v>160</v>
      </c>
      <c r="M7" s="6" t="s">
        <v>146</v>
      </c>
    </row>
    <row r="8" customFormat="false" ht="91.5" hidden="false" customHeight="true" outlineLevel="0" collapsed="false">
      <c r="A8" s="6" t="s">
        <v>161</v>
      </c>
      <c r="B8" s="8" t="s">
        <v>162</v>
      </c>
      <c r="C8" s="8" t="s">
        <v>163</v>
      </c>
      <c r="D8" s="8" t="s">
        <v>164</v>
      </c>
      <c r="E8" s="14" t="n">
        <v>4</v>
      </c>
      <c r="F8" s="14" t="n">
        <v>4</v>
      </c>
      <c r="G8" s="15" t="n">
        <f aca="false">E8*F8</f>
        <v>16</v>
      </c>
      <c r="H8" s="16" t="str">
        <f aca="false">IF(G8&gt;=15,"Critical",IF(G8&gt;=10,"High",IF(G8&gt;=5,"Medium","Low")))</f>
        <v>Critical</v>
      </c>
      <c r="I8" s="8" t="s">
        <v>165</v>
      </c>
      <c r="J8" s="8" t="s">
        <v>166</v>
      </c>
      <c r="K8" s="8" t="s">
        <v>167</v>
      </c>
      <c r="L8" s="8" t="s">
        <v>168</v>
      </c>
      <c r="M8" s="6" t="s">
        <v>146</v>
      </c>
    </row>
    <row r="9" customFormat="false" ht="91.5" hidden="false" customHeight="true" outlineLevel="0" collapsed="false">
      <c r="A9" s="6" t="s">
        <v>169</v>
      </c>
      <c r="B9" s="8" t="s">
        <v>170</v>
      </c>
      <c r="C9" s="8" t="s">
        <v>171</v>
      </c>
      <c r="D9" s="8" t="s">
        <v>172</v>
      </c>
      <c r="E9" s="14" t="n">
        <v>3</v>
      </c>
      <c r="F9" s="14" t="n">
        <v>5</v>
      </c>
      <c r="G9" s="15" t="n">
        <f aca="false">E9*F9</f>
        <v>15</v>
      </c>
      <c r="H9" s="16" t="str">
        <f aca="false">IF(G9&gt;=15,"Critical",IF(G9&gt;=10,"High",IF(G9&gt;=5,"Medium","Low")))</f>
        <v>Critical</v>
      </c>
      <c r="I9" s="8" t="s">
        <v>173</v>
      </c>
      <c r="J9" s="8" t="s">
        <v>174</v>
      </c>
      <c r="K9" s="8" t="s">
        <v>175</v>
      </c>
      <c r="L9" s="8" t="s">
        <v>176</v>
      </c>
      <c r="M9" s="6" t="s">
        <v>146</v>
      </c>
    </row>
    <row r="10" customFormat="false" ht="91.5" hidden="false" customHeight="true" outlineLevel="0" collapsed="false">
      <c r="A10" s="6" t="s">
        <v>177</v>
      </c>
      <c r="B10" s="8" t="s">
        <v>170</v>
      </c>
      <c r="C10" s="8" t="s">
        <v>178</v>
      </c>
      <c r="D10" s="8" t="s">
        <v>179</v>
      </c>
      <c r="E10" s="14" t="n">
        <v>3</v>
      </c>
      <c r="F10" s="14" t="n">
        <v>4</v>
      </c>
      <c r="G10" s="15" t="n">
        <f aca="false">E10*F10</f>
        <v>12</v>
      </c>
      <c r="H10" s="16" t="str">
        <f aca="false">IF(G10&gt;=15,"Critical",IF(G10&gt;=10,"High",IF(G10&gt;=5,"Medium","Low")))</f>
        <v>High</v>
      </c>
      <c r="I10" s="8" t="s">
        <v>180</v>
      </c>
      <c r="J10" s="8" t="s">
        <v>181</v>
      </c>
      <c r="K10" s="8" t="s">
        <v>175</v>
      </c>
      <c r="L10" s="8" t="s">
        <v>182</v>
      </c>
      <c r="M10" s="6" t="s">
        <v>146</v>
      </c>
    </row>
    <row r="11" customFormat="false" ht="91.5" hidden="false" customHeight="true" outlineLevel="0" collapsed="false">
      <c r="A11" s="6" t="s">
        <v>183</v>
      </c>
      <c r="B11" s="8" t="s">
        <v>140</v>
      </c>
      <c r="C11" s="8" t="s">
        <v>184</v>
      </c>
      <c r="D11" s="8" t="s">
        <v>185</v>
      </c>
      <c r="E11" s="14" t="n">
        <v>2</v>
      </c>
      <c r="F11" s="14" t="n">
        <v>4</v>
      </c>
      <c r="G11" s="15" t="n">
        <f aca="false">E11*F11</f>
        <v>8</v>
      </c>
      <c r="H11" s="16" t="str">
        <f aca="false">IF(G11&gt;=15,"Critical",IF(G11&gt;=10,"High",IF(G11&gt;=5,"Medium","Low")))</f>
        <v>Medium</v>
      </c>
      <c r="I11" s="8" t="s">
        <v>186</v>
      </c>
      <c r="J11" s="8" t="s">
        <v>187</v>
      </c>
      <c r="K11" s="8" t="s">
        <v>21</v>
      </c>
      <c r="L11" s="8" t="s">
        <v>188</v>
      </c>
      <c r="M11" s="6" t="s">
        <v>146</v>
      </c>
    </row>
    <row r="12" customFormat="false" ht="91.5" hidden="false" customHeight="true" outlineLevel="0" collapsed="false">
      <c r="A12" s="6" t="s">
        <v>189</v>
      </c>
      <c r="B12" s="8" t="s">
        <v>140</v>
      </c>
      <c r="C12" s="8" t="s">
        <v>190</v>
      </c>
      <c r="D12" s="8" t="s">
        <v>191</v>
      </c>
      <c r="E12" s="14" t="n">
        <v>3</v>
      </c>
      <c r="F12" s="14" t="n">
        <v>4</v>
      </c>
      <c r="G12" s="15" t="n">
        <f aca="false">E12*F12</f>
        <v>12</v>
      </c>
      <c r="H12" s="16" t="str">
        <f aca="false">IF(G12&gt;=15,"Critical",IF(G12&gt;=10,"High",IF(G12&gt;=5,"Medium","Low")))</f>
        <v>High</v>
      </c>
      <c r="I12" s="8" t="s">
        <v>192</v>
      </c>
      <c r="J12" s="8" t="s">
        <v>193</v>
      </c>
      <c r="K12" s="8" t="s">
        <v>194</v>
      </c>
      <c r="L12" s="8" t="s">
        <v>195</v>
      </c>
      <c r="M12" s="6" t="s">
        <v>146</v>
      </c>
    </row>
    <row r="13" customFormat="false" ht="91.5" hidden="false" customHeight="true" outlineLevel="0" collapsed="false">
      <c r="A13" s="6" t="s">
        <v>196</v>
      </c>
      <c r="B13" s="8" t="s">
        <v>162</v>
      </c>
      <c r="C13" s="8" t="s">
        <v>197</v>
      </c>
      <c r="D13" s="8" t="s">
        <v>198</v>
      </c>
      <c r="E13" s="14" t="n">
        <v>3</v>
      </c>
      <c r="F13" s="14" t="n">
        <v>3</v>
      </c>
      <c r="G13" s="15" t="n">
        <f aca="false">E13*F13</f>
        <v>9</v>
      </c>
      <c r="H13" s="16" t="str">
        <f aca="false">IF(G13&gt;=15,"Critical",IF(G13&gt;=10,"High",IF(G13&gt;=5,"Medium","Low")))</f>
        <v>Medium</v>
      </c>
      <c r="I13" s="8" t="s">
        <v>199</v>
      </c>
      <c r="J13" s="8" t="s">
        <v>200</v>
      </c>
      <c r="K13" s="8" t="s">
        <v>201</v>
      </c>
      <c r="L13" s="8" t="s">
        <v>202</v>
      </c>
      <c r="M13" s="6" t="s">
        <v>146</v>
      </c>
    </row>
    <row r="14" customFormat="false" ht="91.5" hidden="false" customHeight="true" outlineLevel="0" collapsed="false">
      <c r="A14" s="6" t="s">
        <v>203</v>
      </c>
      <c r="B14" s="8" t="s">
        <v>140</v>
      </c>
      <c r="C14" s="8" t="s">
        <v>204</v>
      </c>
      <c r="D14" s="8" t="s">
        <v>205</v>
      </c>
      <c r="E14" s="14" t="n">
        <v>2</v>
      </c>
      <c r="F14" s="14" t="n">
        <v>5</v>
      </c>
      <c r="G14" s="15" t="n">
        <f aca="false">E14*F14</f>
        <v>10</v>
      </c>
      <c r="H14" s="16" t="str">
        <f aca="false">IF(G14&gt;=15,"Critical",IF(G14&gt;=10,"High",IF(G14&gt;=5,"Medium","Low")))</f>
        <v>High</v>
      </c>
      <c r="I14" s="8" t="s">
        <v>206</v>
      </c>
      <c r="J14" s="8" t="s">
        <v>207</v>
      </c>
      <c r="K14" s="8" t="s">
        <v>194</v>
      </c>
      <c r="L14" s="8" t="s">
        <v>208</v>
      </c>
      <c r="M14" s="6" t="s">
        <v>146</v>
      </c>
    </row>
    <row r="15" customFormat="false" ht="91.5" hidden="false" customHeight="true" outlineLevel="0" collapsed="false">
      <c r="A15" s="6" t="s">
        <v>209</v>
      </c>
      <c r="B15" s="8" t="s">
        <v>162</v>
      </c>
      <c r="C15" s="8" t="s">
        <v>210</v>
      </c>
      <c r="D15" s="8" t="s">
        <v>211</v>
      </c>
      <c r="E15" s="14" t="n">
        <v>3</v>
      </c>
      <c r="F15" s="14" t="n">
        <v>3</v>
      </c>
      <c r="G15" s="15" t="n">
        <f aca="false">E15*F15</f>
        <v>9</v>
      </c>
      <c r="H15" s="16" t="str">
        <f aca="false">IF(G15&gt;=15,"Critical",IF(G15&gt;=10,"High",IF(G15&gt;=5,"Medium","Low")))</f>
        <v>Medium</v>
      </c>
      <c r="I15" s="8" t="s">
        <v>212</v>
      </c>
      <c r="J15" s="8" t="s">
        <v>213</v>
      </c>
      <c r="K15" s="8" t="s">
        <v>201</v>
      </c>
      <c r="L15" s="8" t="s">
        <v>214</v>
      </c>
      <c r="M15" s="6" t="s">
        <v>146</v>
      </c>
    </row>
    <row r="16" customFormat="false" ht="91.5" hidden="false" customHeight="true" outlineLevel="0" collapsed="false">
      <c r="A16" s="6" t="s">
        <v>215</v>
      </c>
      <c r="B16" s="8" t="s">
        <v>162</v>
      </c>
      <c r="C16" s="8" t="s">
        <v>216</v>
      </c>
      <c r="D16" s="8" t="s">
        <v>217</v>
      </c>
      <c r="E16" s="14" t="n">
        <v>3</v>
      </c>
      <c r="F16" s="14" t="n">
        <v>4</v>
      </c>
      <c r="G16" s="15" t="n">
        <f aca="false">E16*F16</f>
        <v>12</v>
      </c>
      <c r="H16" s="16" t="str">
        <f aca="false">IF(G16&gt;=15,"Critical",IF(G16&gt;=10,"High",IF(G16&gt;=5,"Medium","Low")))</f>
        <v>High</v>
      </c>
      <c r="I16" s="8" t="s">
        <v>218</v>
      </c>
      <c r="J16" s="8" t="s">
        <v>219</v>
      </c>
      <c r="K16" s="8" t="s">
        <v>167</v>
      </c>
      <c r="L16" s="8" t="s">
        <v>220</v>
      </c>
      <c r="M16" s="6" t="s">
        <v>146</v>
      </c>
    </row>
    <row r="17" customFormat="false" ht="91.5" hidden="false" customHeight="true" outlineLevel="0" collapsed="false">
      <c r="A17" s="6" t="s">
        <v>221</v>
      </c>
      <c r="B17" s="8" t="s">
        <v>170</v>
      </c>
      <c r="C17" s="8" t="s">
        <v>222</v>
      </c>
      <c r="D17" s="8" t="s">
        <v>223</v>
      </c>
      <c r="E17" s="14" t="n">
        <v>3</v>
      </c>
      <c r="F17" s="14" t="n">
        <v>4</v>
      </c>
      <c r="G17" s="15" t="n">
        <f aca="false">E17*F17</f>
        <v>12</v>
      </c>
      <c r="H17" s="16" t="str">
        <f aca="false">IF(G17&gt;=15,"Critical",IF(G17&gt;=10,"High",IF(G17&gt;=5,"Medium","Low")))</f>
        <v>High</v>
      </c>
      <c r="I17" s="8" t="s">
        <v>224</v>
      </c>
      <c r="J17" s="8" t="s">
        <v>225</v>
      </c>
      <c r="K17" s="8" t="s">
        <v>175</v>
      </c>
      <c r="L17" s="8" t="s">
        <v>226</v>
      </c>
      <c r="M17" s="6" t="s">
        <v>146</v>
      </c>
    </row>
    <row r="18" customFormat="false" ht="91.5" hidden="false" customHeight="true" outlineLevel="0" collapsed="false">
      <c r="A18" s="6" t="s">
        <v>227</v>
      </c>
      <c r="B18" s="8" t="s">
        <v>140</v>
      </c>
      <c r="C18" s="8" t="s">
        <v>228</v>
      </c>
      <c r="D18" s="8" t="s">
        <v>229</v>
      </c>
      <c r="E18" s="14" t="n">
        <v>2</v>
      </c>
      <c r="F18" s="14" t="n">
        <v>5</v>
      </c>
      <c r="G18" s="15" t="n">
        <f aca="false">E18*F18</f>
        <v>10</v>
      </c>
      <c r="H18" s="16" t="str">
        <f aca="false">IF(G18&gt;=15,"Critical",IF(G18&gt;=10,"High",IF(G18&gt;=5,"Medium","Low")))</f>
        <v>High</v>
      </c>
      <c r="I18" s="8" t="s">
        <v>230</v>
      </c>
      <c r="J18" s="8" t="s">
        <v>231</v>
      </c>
      <c r="K18" s="8" t="s">
        <v>21</v>
      </c>
      <c r="L18" s="8" t="s">
        <v>232</v>
      </c>
      <c r="M18" s="6" t="s">
        <v>146</v>
      </c>
    </row>
    <row r="19" customFormat="false" ht="91.5" hidden="false" customHeight="true" outlineLevel="0" collapsed="false">
      <c r="A19" s="6" t="s">
        <v>233</v>
      </c>
      <c r="B19" s="8" t="s">
        <v>170</v>
      </c>
      <c r="C19" s="8" t="s">
        <v>234</v>
      </c>
      <c r="D19" s="8" t="s">
        <v>235</v>
      </c>
      <c r="E19" s="14" t="n">
        <v>3</v>
      </c>
      <c r="F19" s="14" t="n">
        <v>3</v>
      </c>
      <c r="G19" s="15" t="n">
        <f aca="false">E19*F19</f>
        <v>9</v>
      </c>
      <c r="H19" s="16" t="str">
        <f aca="false">IF(G19&gt;=15,"Critical",IF(G19&gt;=10,"High",IF(G19&gt;=5,"Medium","Low")))</f>
        <v>Medium</v>
      </c>
      <c r="I19" s="8" t="s">
        <v>236</v>
      </c>
      <c r="J19" s="8" t="s">
        <v>237</v>
      </c>
      <c r="K19" s="8" t="s">
        <v>175</v>
      </c>
      <c r="L19" s="8" t="s">
        <v>238</v>
      </c>
      <c r="M19" s="6" t="s">
        <v>146</v>
      </c>
    </row>
    <row r="20" customFormat="false" ht="91.5" hidden="false" customHeight="true" outlineLevel="0" collapsed="false">
      <c r="A20" s="6" t="s">
        <v>239</v>
      </c>
      <c r="B20" s="8" t="s">
        <v>170</v>
      </c>
      <c r="C20" s="8" t="s">
        <v>240</v>
      </c>
      <c r="D20" s="8" t="s">
        <v>241</v>
      </c>
      <c r="E20" s="14" t="n">
        <v>3</v>
      </c>
      <c r="F20" s="14" t="n">
        <v>4</v>
      </c>
      <c r="G20" s="15" t="n">
        <f aca="false">E20*F20</f>
        <v>12</v>
      </c>
      <c r="H20" s="16" t="str">
        <f aca="false">IF(G20&gt;=15,"Critical",IF(G20&gt;=10,"High",IF(G20&gt;=5,"Medium","Low")))</f>
        <v>High</v>
      </c>
      <c r="I20" s="8" t="s">
        <v>242</v>
      </c>
      <c r="J20" s="8" t="s">
        <v>243</v>
      </c>
      <c r="K20" s="8" t="s">
        <v>175</v>
      </c>
      <c r="L20" s="8" t="s">
        <v>244</v>
      </c>
      <c r="M20" s="6" t="s">
        <v>146</v>
      </c>
    </row>
    <row r="21" customFormat="false" ht="91.5" hidden="false" customHeight="true" outlineLevel="0" collapsed="false">
      <c r="A21" s="6" t="s">
        <v>245</v>
      </c>
      <c r="B21" s="8" t="s">
        <v>170</v>
      </c>
      <c r="C21" s="8" t="s">
        <v>246</v>
      </c>
      <c r="D21" s="8" t="s">
        <v>247</v>
      </c>
      <c r="E21" s="14" t="n">
        <v>3</v>
      </c>
      <c r="F21" s="14" t="n">
        <v>4</v>
      </c>
      <c r="G21" s="15" t="n">
        <f aca="false">E21*F21</f>
        <v>12</v>
      </c>
      <c r="H21" s="16" t="str">
        <f aca="false">IF(G21&gt;=15,"Critical",IF(G21&gt;=10,"High",IF(G21&gt;=5,"Medium","Low")))</f>
        <v>High</v>
      </c>
      <c r="I21" s="8" t="s">
        <v>248</v>
      </c>
      <c r="J21" s="8" t="s">
        <v>249</v>
      </c>
      <c r="K21" s="8" t="s">
        <v>175</v>
      </c>
      <c r="L21" s="8" t="s">
        <v>250</v>
      </c>
      <c r="M21" s="6" t="s">
        <v>146</v>
      </c>
    </row>
    <row r="22" customFormat="false" ht="91.5" hidden="false" customHeight="true" outlineLevel="0" collapsed="false">
      <c r="A22" s="6" t="s">
        <v>251</v>
      </c>
      <c r="B22" s="8" t="s">
        <v>140</v>
      </c>
      <c r="C22" s="8" t="s">
        <v>252</v>
      </c>
      <c r="D22" s="8" t="s">
        <v>253</v>
      </c>
      <c r="E22" s="14" t="n">
        <v>3</v>
      </c>
      <c r="F22" s="14" t="n">
        <v>3</v>
      </c>
      <c r="G22" s="15" t="n">
        <f aca="false">E22*F22</f>
        <v>9</v>
      </c>
      <c r="H22" s="16" t="str">
        <f aca="false">IF(G22&gt;=15,"Critical",IF(G22&gt;=10,"High",IF(G22&gt;=5,"Medium","Low")))</f>
        <v>Medium</v>
      </c>
      <c r="I22" s="8" t="s">
        <v>254</v>
      </c>
      <c r="J22" s="8" t="s">
        <v>255</v>
      </c>
      <c r="K22" s="8" t="s">
        <v>80</v>
      </c>
      <c r="L22" s="8" t="s">
        <v>256</v>
      </c>
      <c r="M22" s="6" t="s">
        <v>146</v>
      </c>
    </row>
  </sheetData>
  <autoFilter ref="A4:M22"/>
  <conditionalFormatting sqref="H5:H22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dataValidations count="2">
    <dataValidation allowBlank="false" errorStyle="stop" operator="between" showDropDown="false" showErrorMessage="false" showInputMessage="false" sqref="E5:F42" type="whole">
      <formula1>1</formula1>
      <formula2>5</formula2>
    </dataValidation>
    <dataValidation allowBlank="false" errorStyle="stop" operator="between" showDropDown="false" showErrorMessage="false" showInputMessage="false" sqref="M5:M42" type="list">
      <formula1>"Open,Mitigating,Accepted,Closed,Occurred"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7" t="s">
        <v>257</v>
      </c>
    </row>
    <row r="3" customFormat="false" ht="15" hidden="false" customHeight="false" outlineLevel="0" collapsed="false">
      <c r="A3" s="18" t="s">
        <v>258</v>
      </c>
      <c r="B3" s="19" t="n">
        <v>1</v>
      </c>
      <c r="C3" s="19" t="n">
        <v>2</v>
      </c>
      <c r="D3" s="19" t="n">
        <v>3</v>
      </c>
      <c r="E3" s="19" t="n">
        <v>4</v>
      </c>
      <c r="F3" s="19" t="n">
        <v>5</v>
      </c>
    </row>
    <row r="4" customFormat="false" ht="30" hidden="false" customHeight="true" outlineLevel="0" collapsed="false">
      <c r="A4" s="19" t="n">
        <v>5</v>
      </c>
      <c r="B4" s="20" t="n">
        <f aca="false">COUNTIFS('Risk Matrix'!$E$5:$E$200,$A4,'Risk Matrix'!$F$5:$F$200,B$3)</f>
        <v>0</v>
      </c>
      <c r="C4" s="21" t="n">
        <f aca="false">COUNTIFS('Risk Matrix'!$E$5:$E$200,$A4,'Risk Matrix'!$F$5:$F$200,C$3)</f>
        <v>0</v>
      </c>
      <c r="D4" s="22" t="n">
        <f aca="false">COUNTIFS('Risk Matrix'!$E$5:$E$200,$A4,'Risk Matrix'!$F$5:$F$200,D$3)</f>
        <v>0</v>
      </c>
      <c r="E4" s="22" t="n">
        <f aca="false">COUNTIFS('Risk Matrix'!$E$5:$E$200,$A4,'Risk Matrix'!$F$5:$F$200,E$3)</f>
        <v>0</v>
      </c>
      <c r="F4" s="22" t="n">
        <f aca="false">COUNTIFS('Risk Matrix'!$E$5:$E$200,$A4,'Risk Matrix'!$F$5:$F$200,F$3)</f>
        <v>0</v>
      </c>
    </row>
    <row r="5" customFormat="false" ht="30" hidden="false" customHeight="true" outlineLevel="0" collapsed="false">
      <c r="A5" s="19" t="n">
        <v>4</v>
      </c>
      <c r="B5" s="23" t="n">
        <f aca="false">COUNTIFS('Risk Matrix'!$E$5:$E$200,$A5,'Risk Matrix'!$F$5:$F$200,B$3)</f>
        <v>0</v>
      </c>
      <c r="C5" s="20" t="n">
        <f aca="false">COUNTIFS('Risk Matrix'!$E$5:$E$200,$A5,'Risk Matrix'!$F$5:$F$200,C$3)</f>
        <v>0</v>
      </c>
      <c r="D5" s="21" t="n">
        <f aca="false">COUNTIFS('Risk Matrix'!$E$5:$E$200,$A5,'Risk Matrix'!$F$5:$F$200,D$3)</f>
        <v>0</v>
      </c>
      <c r="E5" s="22" t="n">
        <f aca="false">COUNTIFS('Risk Matrix'!$E$5:$E$200,$A5,'Risk Matrix'!$F$5:$F$200,E$3)</f>
        <v>2</v>
      </c>
      <c r="F5" s="22" t="n">
        <f aca="false">COUNTIFS('Risk Matrix'!$E$5:$E$200,$A5,'Risk Matrix'!$F$5:$F$200,F$3)</f>
        <v>1</v>
      </c>
    </row>
    <row r="6" customFormat="false" ht="30" hidden="false" customHeight="true" outlineLevel="0" collapsed="false">
      <c r="A6" s="19" t="n">
        <v>3</v>
      </c>
      <c r="B6" s="23" t="n">
        <f aca="false">COUNTIFS('Risk Matrix'!$E$5:$E$200,$A6,'Risk Matrix'!$F$5:$F$200,B$3)</f>
        <v>0</v>
      </c>
      <c r="C6" s="20" t="n">
        <f aca="false">COUNTIFS('Risk Matrix'!$E$5:$E$200,$A6,'Risk Matrix'!$F$5:$F$200,C$3)</f>
        <v>0</v>
      </c>
      <c r="D6" s="20" t="n">
        <f aca="false">COUNTIFS('Risk Matrix'!$E$5:$E$200,$A6,'Risk Matrix'!$F$5:$F$200,D$3)</f>
        <v>4</v>
      </c>
      <c r="E6" s="21" t="n">
        <f aca="false">COUNTIFS('Risk Matrix'!$E$5:$E$200,$A6,'Risk Matrix'!$F$5:$F$200,E$3)</f>
        <v>6</v>
      </c>
      <c r="F6" s="22" t="n">
        <f aca="false">COUNTIFS('Risk Matrix'!$E$5:$E$200,$A6,'Risk Matrix'!$F$5:$F$200,F$3)</f>
        <v>2</v>
      </c>
    </row>
    <row r="7" customFormat="false" ht="30" hidden="false" customHeight="true" outlineLevel="0" collapsed="false">
      <c r="A7" s="19" t="n">
        <v>2</v>
      </c>
      <c r="B7" s="23" t="n">
        <f aca="false">COUNTIFS('Risk Matrix'!$E$5:$E$200,$A7,'Risk Matrix'!$F$5:$F$200,B$3)</f>
        <v>0</v>
      </c>
      <c r="C7" s="23" t="n">
        <f aca="false">COUNTIFS('Risk Matrix'!$E$5:$E$200,$A7,'Risk Matrix'!$F$5:$F$200,C$3)</f>
        <v>0</v>
      </c>
      <c r="D7" s="20" t="n">
        <f aca="false">COUNTIFS('Risk Matrix'!$E$5:$E$200,$A7,'Risk Matrix'!$F$5:$F$200,D$3)</f>
        <v>0</v>
      </c>
      <c r="E7" s="20" t="n">
        <f aca="false">COUNTIFS('Risk Matrix'!$E$5:$E$200,$A7,'Risk Matrix'!$F$5:$F$200,E$3)</f>
        <v>1</v>
      </c>
      <c r="F7" s="21" t="n">
        <f aca="false">COUNTIFS('Risk Matrix'!$E$5:$E$200,$A7,'Risk Matrix'!$F$5:$F$200,F$3)</f>
        <v>2</v>
      </c>
    </row>
    <row r="8" customFormat="false" ht="30" hidden="false" customHeight="true" outlineLevel="0" collapsed="false">
      <c r="A8" s="19" t="n">
        <v>1</v>
      </c>
      <c r="B8" s="23" t="n">
        <f aca="false">COUNTIFS('Risk Matrix'!$E$5:$E$200,$A8,'Risk Matrix'!$F$5:$F$200,B$3)</f>
        <v>0</v>
      </c>
      <c r="C8" s="23" t="n">
        <f aca="false">COUNTIFS('Risk Matrix'!$E$5:$E$200,$A8,'Risk Matrix'!$F$5:$F$200,C$3)</f>
        <v>0</v>
      </c>
      <c r="D8" s="23" t="n">
        <f aca="false">COUNTIFS('Risk Matrix'!$E$5:$E$200,$A8,'Risk Matrix'!$F$5:$F$200,D$3)</f>
        <v>0</v>
      </c>
      <c r="E8" s="23" t="n">
        <f aca="false">COUNTIFS('Risk Matrix'!$E$5:$E$200,$A8,'Risk Matrix'!$F$5:$F$200,E$3)</f>
        <v>0</v>
      </c>
      <c r="F8" s="20" t="n">
        <f aca="false">COUNTIFS('Risk Matrix'!$E$5:$E$200,$A8,'Risk Matrix'!$F$5:$F$200,F$3)</f>
        <v>0</v>
      </c>
    </row>
    <row r="10" customFormat="false" ht="15" hidden="false" customHeight="false" outlineLevel="0" collapsed="false">
      <c r="A10" s="18" t="s">
        <v>259</v>
      </c>
    </row>
    <row r="11" customFormat="false" ht="15" hidden="false" customHeight="false" outlineLevel="0" collapsed="false">
      <c r="A11" s="24" t="s">
        <v>260</v>
      </c>
      <c r="B11" s="24" t="n">
        <f aca="false">COUNTIF('Risk Matrix'!$H$5:$H$200,A11)</f>
        <v>5</v>
      </c>
    </row>
    <row r="12" customFormat="false" ht="15" hidden="false" customHeight="false" outlineLevel="0" collapsed="false">
      <c r="A12" s="24" t="s">
        <v>261</v>
      </c>
      <c r="B12" s="24" t="n">
        <f aca="false">COUNTIF('Risk Matrix'!$H$5:$H$200,A12)</f>
        <v>8</v>
      </c>
    </row>
    <row r="13" customFormat="false" ht="15" hidden="false" customHeight="false" outlineLevel="0" collapsed="false">
      <c r="A13" s="24" t="s">
        <v>262</v>
      </c>
      <c r="B13" s="24" t="n">
        <f aca="false">COUNTIF('Risk Matrix'!$H$5:$H$200,A13)</f>
        <v>5</v>
      </c>
    </row>
    <row r="14" customFormat="false" ht="15" hidden="false" customHeight="false" outlineLevel="0" collapsed="false">
      <c r="A14" s="24" t="s">
        <v>263</v>
      </c>
      <c r="B14" s="24" t="n">
        <f aca="false">COUNTIF('Risk Matrix'!$H$5:$H$200,A14)</f>
        <v>0</v>
      </c>
    </row>
    <row r="15" customFormat="false" ht="15" hidden="false" customHeight="false" outlineLevel="0" collapsed="false">
      <c r="A15" s="18" t="s">
        <v>264</v>
      </c>
      <c r="B15" s="18" t="n">
        <f aca="false">SUM(B11:B14)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2026-10-21T18:43:07Z</dcterms:created>
  <dc:creator>openpyxl</dc:creator>
  <dc:description/>
  <dc:language>en-US</dc:language>
  <cp:lastModifiedBy/>
  <dcterms:modified xsi:type="dcterms:W3CDTF">2026-10-21T18:43:07Z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